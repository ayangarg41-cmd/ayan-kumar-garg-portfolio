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4880488bdf4b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4121a9cfa8d9467f"/>
    <x:sheet xmlns:r="http://schemas.openxmlformats.org/officeDocument/2006/relationships" name="Assumptions" sheetId="2" r:id="R1718da26c9a246e9"/>
    <x:sheet xmlns:r="http://schemas.openxmlformats.org/officeDocument/2006/relationships" name="3 Statement Model" sheetId="3" r:id="R4542b1bb503f472a"/>
    <x:sheet xmlns:r="http://schemas.openxmlformats.org/officeDocument/2006/relationships" name="FCFE DCF" sheetId="4" r:id="Rdb06640dace04a3a"/>
    <x:sheet xmlns:r="http://schemas.openxmlformats.org/officeDocument/2006/relationships" name="Checks" sheetId="5" r:id="R7de036872ccd4582"/>
    <x:sheet xmlns:r="http://schemas.openxmlformats.org/officeDocument/2006/relationships" name="Sources &amp; Audit" sheetId="6" r:id="R76cff7dc475741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;[Red](0.00);-"/>
    <x:numFmt numFmtId="201" formatCode="0.0%;[Red](0.0%);-"/>
    <x:numFmt numFmtId="202" formatCode="#,##0.0;[Red](#,##0.0);-"/>
    <x:numFmt numFmtId="203" formatCode="0.000x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9"/>
      <x:color rgb="FF44546A"/>
      <x:name val="Carlito"/>
    </x:font>
    <x:font>
      <x:b/>
      <x:sz val="10"/>
      <x:color rgb="FFFFFFFF"/>
      <x:name val="Arial"/>
    </x:font>
    <x:font>
      <x:i/>
      <x:sz val="10"/>
      <x:color rgb="FF44546A"/>
      <x:name val="Arial"/>
    </x:font>
    <x:font>
      <x:sz val="10"/>
      <x:name val="Arial"/>
    </x:font>
    <x:font>
      <x:b/>
      <x:sz val="10"/>
      <x:name val="Arial"/>
    </x:font>
    <x:font>
      <x:sz val="10"/>
      <x:color rgb="FF0000FF"/>
      <x:name val="Arial"/>
    </x:font>
    <x:font>
      <x:sz val="10"/>
      <x:color rgb="FF008000"/>
      <x:name val="Arial"/>
    </x:font>
    <x:font>
      <x:sz val="10"/>
      <x:color rgb="FF000000"/>
      <x:name val="Arial"/>
    </x:font>
    <x:font>
      <x:b/>
      <x:sz val="10"/>
      <x:color rgb="FF000000"/>
      <x:name val="Arial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DF4F8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3">
    <x:border/>
    <x:border>
      <x:bottom style="thin">
        <x:color rgb="FF0B1F33"/>
      </x:bottom>
    </x:border>
    <x:border>
      <x:top style="thin">
        <x:color rgb="FF000000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5" fillId="4" borderId="0" xfId="0" applyNumberFormat="1" applyFont="1" applyFill="1" applyBorder="1"/>
    <x:xf numFmtId="0" fontId="5" fillId="5" borderId="0" xfId="0" applyNumberFormat="1" applyFont="1" applyFill="1" applyBorder="1"/>
    <x:xf numFmtId="0" fontId="5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right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right"/>
    </x:xf>
    <x:xf numFmtId="201" fontId="7" fillId="0" borderId="0" xfId="0" applyNumberFormat="1" applyFont="1" applyFill="1" applyBorder="1"/>
    <x:xf numFmtId="201" fontId="7" fillId="7" borderId="0" xfId="0" applyNumberFormat="1" applyFont="1" applyFill="1" applyBorder="1"/>
    <x:xf numFmtId="200" fontId="7" fillId="0" borderId="0" xfId="0" applyNumberFormat="1" applyFont="1" applyFill="1" applyBorder="1"/>
    <x:xf numFmtId="202" fontId="5" fillId="0" borderId="0" xfId="0" applyNumberFormat="1" applyFont="1" applyFill="1" applyBorder="1"/>
    <x:xf numFmtId="202" fontId="9" fillId="0" borderId="0" xfId="0" applyNumberFormat="1" applyFont="1" applyFill="1" applyBorder="1"/>
    <x:xf numFmtId="0" fontId="5" fillId="0" borderId="2" xfId="0" applyNumberFormat="1" applyFont="1" applyFill="1" applyBorder="1"/>
    <x:xf numFmtId="202" fontId="5" fillId="0" borderId="2" xfId="0" applyNumberFormat="1" applyFont="1" applyFill="1" applyBorder="1"/>
    <x:xf numFmtId="202" fontId="9" fillId="0" borderId="2" xfId="0" applyNumberFormat="1" applyFont="1" applyFill="1" applyBorder="1"/>
    <x:xf numFmtId="0" fontId="6" fillId="0" borderId="2" xfId="0" applyNumberFormat="1" applyFont="1" applyFill="1" applyBorder="1"/>
    <x:xf numFmtId="202" fontId="6" fillId="0" borderId="2" xfId="0" applyNumberFormat="1" applyFont="1" applyFill="1" applyBorder="1"/>
    <x:xf numFmtId="202" fontId="10" fillId="0" borderId="2" xfId="0" applyNumberFormat="1" applyFont="1" applyFill="1" applyBorder="1"/>
    <x:xf numFmtId="201" fontId="9" fillId="0" borderId="0" xfId="0" applyNumberFormat="1" applyFont="1" applyFill="1" applyBorder="1"/>
    <x:xf numFmtId="202" fontId="5" fillId="4" borderId="0" xfId="0" applyNumberFormat="1" applyFont="1" applyFill="1" applyBorder="1"/>
    <x:xf numFmtId="202" fontId="6" fillId="4" borderId="2" xfId="0" applyNumberFormat="1" applyFont="1" applyFill="1" applyBorder="1"/>
    <x:xf numFmtId="201" fontId="5" fillId="4" borderId="0" xfId="0" applyNumberFormat="1" applyFont="1" applyFill="1" applyBorder="1"/>
    <x:xf numFmtId="0" fontId="3" fillId="4" borderId="1" xfId="0" applyNumberFormat="1" applyFont="1" applyFill="1" applyBorder="1"/>
    <x:xf numFmtId="202" fontId="9" fillId="5" borderId="0" xfId="0" applyNumberFormat="1" applyFont="1" applyFill="1" applyBorder="1"/>
    <x:xf numFmtId="202" fontId="10" fillId="5" borderId="2" xfId="0" applyNumberFormat="1" applyFont="1" applyFill="1" applyBorder="1"/>
    <x:xf numFmtId="201" fontId="9" fillId="5" borderId="0" xfId="0" applyNumberFormat="1" applyFont="1" applyFill="1" applyBorder="1"/>
    <x:xf numFmtId="0" fontId="3" fillId="5" borderId="1" xfId="0" applyNumberFormat="1" applyFont="1" applyFill="1" applyBorder="1"/>
    <x:xf numFmtId="203" fontId="5" fillId="0" borderId="0" xfId="0" applyNumberFormat="1" applyFont="1" applyFill="1" applyBorder="1"/>
    <x:xf numFmtId="200" fontId="5" fillId="0" borderId="2" xfId="0" applyNumberFormat="1" applyFont="1" applyFill="1" applyBorder="1"/>
    <x:xf numFmtId="200" fontId="6" fillId="0" borderId="2" xfId="0" applyNumberFormat="1" applyFont="1" applyFill="1" applyBorder="1"/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2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6515d6618f4183" /><Relationship Type="http://schemas.openxmlformats.org/officeDocument/2006/relationships/theme" Target="/xl/theme/theme1.xml" Id="R9e2405ef762d45fb" /><Relationship Type="http://schemas.openxmlformats.org/officeDocument/2006/relationships/sharedStrings" Target="/xl/sharedStrings.xml" Id="R4968a4b9f9004a2e" /><Relationship Type="http://schemas.openxmlformats.org/officeDocument/2006/relationships/worksheet" Target="/xl/worksheets/sheet1.xml" Id="R4121a9cfa8d9467f" /><Relationship Type="http://schemas.openxmlformats.org/officeDocument/2006/relationships/worksheet" Target="/xl/worksheets/sheet2.xml" Id="R1718da26c9a246e9" /><Relationship Type="http://schemas.openxmlformats.org/officeDocument/2006/relationships/worksheet" Target="/xl/worksheets/sheet3.xml" Id="R4542b1bb503f472a" /><Relationship Type="http://schemas.openxmlformats.org/officeDocument/2006/relationships/worksheet" Target="/xl/worksheets/sheet4.xml" Id="Rdb06640dace04a3a" /><Relationship Type="http://schemas.openxmlformats.org/officeDocument/2006/relationships/worksheet" Target="/xl/worksheets/sheet5.xml" Id="R7de036872ccd4582" /><Relationship Type="http://schemas.openxmlformats.org/officeDocument/2006/relationships/worksheet" Target="/xl/worksheets/sheet6.xml" Id="R76cff7dc475741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>
      <x:c r="A1" s="6" t="str">
        <x:v>IREDA | Integrated Lender Model &amp; FCFE DCF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>
      <x:c r="A2" s="6"/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7" t="str">
        <x:v>Portfolio model | INR crore unless stated | Valuation date: 10-Jul-2026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4">
      <x:c r="A4" s="8"/>
      <x:c r="B4" s="8"/>
      <x:c r="C4" s="8"/>
      <x:c r="D4" s="8"/>
      <x:c r="E4" s="8"/>
      <x:c r="F4" s="8"/>
      <x:c r="G4" s="8"/>
      <x:c r="H4" s="8"/>
      <x:c r="I4" s="8"/>
      <x:c r="J4" s="8"/>
    </x:row>
    <x:row r="5">
      <x:c r="A5" s="8"/>
      <x:c r="B5" s="8"/>
      <x:c r="C5" s="8"/>
      <x:c r="D5" s="8"/>
      <x:c r="E5" s="8"/>
      <x:c r="F5" s="8"/>
      <x:c r="G5" s="8"/>
      <x:c r="H5" s="8"/>
      <x:c r="I5" s="8"/>
      <x:c r="J5" s="8"/>
    </x:row>
    <x:row r="6">
      <x:c r="A6" s="9" t="str">
        <x:v>Legend</x:v>
      </x:c>
      <x:c r="B6" s="8"/>
      <x:c r="C6" s="10" t="str">
        <x:v>Blue font = editable input</x:v>
      </x:c>
      <x:c r="D6" s="11" t="str">
        <x:v>Green font = linked formula</x:v>
      </x:c>
      <x:c r="E6" s="12" t="str">
        <x:v>Gray = actual</x:v>
      </x:c>
      <x:c r="F6" s="13" t="str">
        <x:v>Green fill = forecast</x:v>
      </x:c>
      <x:c r="G6" s="8"/>
      <x:c r="H6" s="8"/>
      <x:c r="I6" s="8"/>
      <x:c r="J6" s="8"/>
    </x:row>
    <x:row r="7">
      <x:c r="A7" s="8"/>
      <x:c r="B7" s="8"/>
      <x:c r="C7" s="8"/>
      <x:c r="D7" s="8"/>
      <x:c r="E7" s="8"/>
      <x:c r="F7" s="8"/>
      <x:c r="G7" s="8"/>
      <x:c r="H7" s="8"/>
      <x:c r="I7" s="8"/>
      <x:c r="J7" s="8"/>
    </x:row>
    <x:row r="8">
      <x:c r="A8" s="8"/>
      <x:c r="B8" s="8"/>
      <x:c r="C8" s="8"/>
      <x:c r="D8" s="8"/>
      <x:c r="E8" s="8"/>
      <x:c r="F8" s="8"/>
      <x:c r="G8" s="8"/>
      <x:c r="H8" s="8"/>
      <x:c r="I8" s="8"/>
      <x:c r="J8" s="8"/>
    </x:row>
    <x:row r="9">
      <x:c r="A9" s="16" t="str">
        <x:v>MODEL OVERVIEW</x:v>
      </x:c>
      <x:c r="B9" s="16"/>
      <x:c r="C9" s="16"/>
      <x:c r="D9" s="16"/>
      <x:c r="E9" s="16"/>
      <x:c r="F9" s="16"/>
      <x:c r="G9" s="16"/>
      <x:c r="H9" s="16"/>
      <x:c r="I9" s="16"/>
      <x:c r="J9" s="16"/>
    </x:row>
    <x:row r="10">
      <x:c r="A10" s="9" t="str">
        <x:v>Purpose</x:v>
      </x:c>
      <x:c r="B10" s="8" t="str"/>
      <x:c r="C10" s="17" t="str">
        <x:v>Integrated lender income statement, balance sheet, cash flow and equity valuation</x:v>
      </x:c>
      <x:c r="D10" s="17" t="str"/>
      <x:c r="E10" s="17" t="str"/>
      <x:c r="F10" s="17" t="str"/>
      <x:c r="G10" s="17" t="str"/>
      <x:c r="H10" s="17" t="str"/>
      <x:c r="I10" s="17" t="str"/>
      <x:c r="J10" s="17" t="str"/>
    </x:row>
    <x:row r="11">
      <x:c r="A11" s="9" t="str">
        <x:v>Historical period</x:v>
      </x:c>
      <x:c r="B11" s="8" t="str"/>
      <x:c r="C11" s="17" t="str">
        <x:v>FY2024-FY2026 audited standalone actuals</x:v>
      </x:c>
      <x:c r="D11" s="17" t="str"/>
      <x:c r="E11" s="17" t="str"/>
      <x:c r="F11" s="17" t="str"/>
      <x:c r="G11" s="17" t="str"/>
      <x:c r="H11" s="17" t="str"/>
      <x:c r="I11" s="17" t="str"/>
      <x:c r="J11" s="17" t="str"/>
    </x:row>
    <x:row r="12">
      <x:c r="A12" s="9" t="str">
        <x:v>Forecast period</x:v>
      </x:c>
      <x:c r="B12" s="8" t="str"/>
      <x:c r="C12" s="17" t="str">
        <x:v>FY2027-FY2031</x:v>
      </x:c>
      <x:c r="D12" s="17" t="str"/>
      <x:c r="E12" s="17" t="str"/>
      <x:c r="F12" s="17" t="str"/>
      <x:c r="G12" s="17" t="str"/>
      <x:c r="H12" s="17" t="str"/>
      <x:c r="I12" s="17" t="str"/>
      <x:c r="J12" s="17" t="str"/>
    </x:row>
    <x:row r="13">
      <x:c r="A13" s="9" t="str">
        <x:v>Valuation method</x:v>
      </x:c>
      <x:c r="B13" s="8" t="str"/>
      <x:c r="C13" s="17" t="str">
        <x:v>FCFE DCF using regulatory-equity reinvestment; Gordon-growth terminal value</x:v>
      </x:c>
      <x:c r="D13" s="17" t="str"/>
      <x:c r="E13" s="17" t="str"/>
      <x:c r="F13" s="17" t="str"/>
      <x:c r="G13" s="17" t="str"/>
      <x:c r="H13" s="17" t="str"/>
      <x:c r="I13" s="17" t="str"/>
      <x:c r="J13" s="17" t="str"/>
    </x:row>
    <x:row r="14">
      <x:c r="A14" s="9" t="str">
        <x:v>Currency</x:v>
      </x:c>
      <x:c r="B14" s="8" t="str"/>
      <x:c r="C14" s="17" t="str">
        <x:v>INR crore; per-share values in INR</x:v>
      </x:c>
      <x:c r="D14" s="17" t="str"/>
      <x:c r="E14" s="17" t="str"/>
      <x:c r="F14" s="17" t="str"/>
      <x:c r="G14" s="17" t="str"/>
      <x:c r="H14" s="17" t="str"/>
      <x:c r="I14" s="17" t="str"/>
      <x:c r="J14" s="17" t="str"/>
    </x:row>
    <x:row r="15">
      <x:c r="A15" s="9" t="str">
        <x:v>Important</x:v>
      </x:c>
      <x:c r="B15" s="8" t="str"/>
      <x:c r="C15" s="17" t="str">
        <x:v>For a lender, debt is operating funding; conventional FCFF/WACC is not economically meaningful</x:v>
      </x:c>
      <x:c r="D15" s="17" t="str"/>
      <x:c r="E15" s="17" t="str"/>
      <x:c r="F15" s="17" t="str"/>
      <x:c r="G15" s="17" t="str"/>
      <x:c r="H15" s="17" t="str"/>
      <x:c r="I15" s="17" t="str"/>
      <x:c r="J15" s="17" t="str"/>
    </x:row>
    <x:row r="16">
      <x:c r="A16" s="8"/>
      <x:c r="B16" s="8"/>
      <x:c r="C16" s="8"/>
      <x:c r="D16" s="8"/>
      <x:c r="E16" s="8"/>
      <x:c r="F16" s="8"/>
      <x:c r="G16" s="8"/>
      <x:c r="H16" s="8"/>
      <x:c r="I16" s="8"/>
      <x:c r="J16" s="8"/>
    </x:row>
    <x:row r="17">
      <x:c r="A17" s="8"/>
      <x:c r="B17" s="8"/>
      <x:c r="C17" s="8"/>
      <x:c r="D17" s="8"/>
      <x:c r="E17" s="8"/>
      <x:c r="F17" s="8"/>
      <x:c r="G17" s="8"/>
      <x:c r="H17" s="8"/>
      <x:c r="I17" s="8"/>
      <x:c r="J17" s="8"/>
    </x:row>
    <x:row r="18">
      <x:c r="A18" s="16" t="str">
        <x:v>KEY OUTPUTS</x:v>
      </x:c>
      <x:c r="B18" s="16"/>
      <x:c r="C18" s="16"/>
      <x:c r="D18" s="16"/>
      <x:c r="E18" s="16"/>
      <x:c r="F18" s="16"/>
      <x:c r="G18" s="16"/>
      <x:c r="H18" s="16"/>
      <x:c r="I18" s="16"/>
      <x:c r="J18" s="16"/>
    </x:row>
    <x:row r="19">
      <x:c r="A19" s="8" t="str">
        <x:v>Metric</x:v>
      </x:c>
      <x:c r="B19" s="8" t="str"/>
      <x:c r="C19" s="8" t="str">
        <x:v>Value</x:v>
      </x:c>
      <x:c r="D19" s="8"/>
      <x:c r="E19" s="8"/>
      <x:c r="F19" s="8"/>
      <x:c r="G19" s="8"/>
      <x:c r="H19" s="8"/>
      <x:c r="I19" s="8"/>
      <x:c r="J19" s="8"/>
    </x:row>
    <x:row r="20">
      <x:c r="A20" s="8" t="str">
        <x:v>FCFE value / share</x:v>
      </x:c>
      <x:c r="B20" s="8" t="str"/>
      <x:c r="C20" s="18" t="n">
        <x:f>'FCFE DCF'!C26</x:f>
        <x:v>85.0253761870867</x:v>
      </x:c>
      <x:c r="D20" s="8"/>
      <x:c r="E20" s="8"/>
      <x:c r="F20" s="8"/>
      <x:c r="G20" s="8"/>
      <x:c r="H20" s="8"/>
      <x:c r="I20" s="8"/>
      <x:c r="J20" s="8"/>
    </x:row>
    <x:row r="21">
      <x:c r="A21" s="8" t="str">
        <x:v>Current price</x:v>
      </x:c>
      <x:c r="B21" s="8" t="str"/>
      <x:c r="C21" s="18" t="n">
        <x:v>126.4</x:v>
      </x:c>
      <x:c r="D21" s="8"/>
      <x:c r="E21" s="8"/>
      <x:c r="F21" s="8"/>
      <x:c r="G21" s="8"/>
      <x:c r="H21" s="8"/>
      <x:c r="I21" s="8"/>
      <x:c r="J21" s="8"/>
    </x:row>
    <x:row r="22">
      <x:c r="A22" s="8" t="str">
        <x:v>Upside / (downside)</x:v>
      </x:c>
      <x:c r="B22" s="8" t="str"/>
      <x:c r="C22" s="19" t="n">
        <x:f>C20/C21-1</x:f>
        <x:v>-0.32733088459583304</x:v>
      </x:c>
      <x:c r="D22" s="8"/>
      <x:c r="E22" s="8"/>
      <x:c r="F22" s="8"/>
      <x:c r="G22" s="8"/>
      <x:c r="H22" s="8"/>
      <x:c r="I22" s="8"/>
      <x:c r="J22" s="8"/>
    </x:row>
    <x:row r="23">
      <x:c r="A23" s="8" t="str">
        <x:v>Model status</x:v>
      </x:c>
      <x:c r="B23" s="8" t="str"/>
      <x:c r="C23" s="8" t="str">
        <x:f>'Checks'!F11</x:f>
        <x:v>OK</x:v>
      </x:c>
      <x:c r="D23" s="8"/>
      <x:c r="E23" s="8"/>
      <x:c r="F23" s="8"/>
      <x:c r="G23" s="8"/>
      <x:c r="H23" s="8"/>
      <x:c r="I23" s="8"/>
      <x:c r="J23" s="8"/>
    </x:row>
    <x:row r="24">
      <x:c r="A24" s="8"/>
      <x:c r="B24" s="8"/>
      <x:c r="C24" s="8"/>
      <x:c r="D24" s="8"/>
      <x:c r="E24" s="8"/>
      <x:c r="F24" s="8"/>
      <x:c r="G24" s="8"/>
      <x:c r="H24" s="8"/>
      <x:c r="I24" s="8"/>
      <x:c r="J24" s="8"/>
    </x:row>
    <x:row r="25">
      <x:c r="A25" s="8"/>
      <x:c r="B25" s="8"/>
      <x:c r="C25" s="8"/>
      <x:c r="D25" s="8"/>
      <x:c r="E25" s="8"/>
      <x:c r="F25" s="8"/>
      <x:c r="G25" s="8"/>
      <x:c r="H25" s="8"/>
      <x:c r="I25" s="8"/>
      <x:c r="J25" s="8"/>
    </x:row>
    <x:row r="26">
      <x:c r="A26" s="8"/>
      <x:c r="B26" s="8"/>
      <x:c r="C26" s="8"/>
      <x:c r="D26" s="8"/>
      <x:c r="E26" s="8"/>
      <x:c r="F26" s="8"/>
      <x:c r="G26" s="8"/>
      <x:c r="H26" s="8"/>
      <x:c r="I26" s="8"/>
      <x:c r="J26" s="8"/>
    </x:row>
    <x:row r="27">
      <x:c r="A27" s="8"/>
      <x:c r="B27" s="8"/>
      <x:c r="C27" s="8"/>
      <x:c r="D27" s="8"/>
      <x:c r="E27" s="8"/>
      <x:c r="F27" s="8"/>
      <x:c r="G27" s="8"/>
      <x:c r="H27" s="8"/>
      <x:c r="I27" s="8"/>
      <x:c r="J27" s="8"/>
    </x:row>
    <x:row r="28">
      <x:c r="A28" s="8"/>
      <x:c r="B28" s="8"/>
      <x:c r="C28" s="8"/>
      <x:c r="D28" s="8"/>
      <x:c r="E28" s="8"/>
      <x:c r="F28" s="8"/>
      <x:c r="G28" s="8"/>
      <x:c r="H28" s="8"/>
      <x:c r="I28" s="8"/>
      <x:c r="J28" s="8"/>
    </x:row>
    <x:row r="29">
      <x:c r="A29" s="8"/>
      <x:c r="B29" s="8"/>
      <x:c r="C29" s="8"/>
      <x:c r="D29" s="8"/>
      <x:c r="E29" s="8"/>
      <x:c r="F29" s="8"/>
      <x:c r="G29" s="8"/>
      <x:c r="H29" s="8"/>
      <x:c r="I29" s="8"/>
      <x:c r="J29" s="8"/>
    </x:row>
    <x:row r="30">
      <x:c r="A30" s="8"/>
      <x:c r="B30" s="8"/>
      <x:c r="C30" s="8"/>
      <x:c r="D30" s="8"/>
      <x:c r="E30" s="8"/>
      <x:c r="F30" s="8"/>
      <x:c r="G30" s="8"/>
      <x:c r="H30" s="8"/>
      <x:c r="I30" s="8"/>
      <x:c r="J30" s="8"/>
    </x:row>
    <x:row r="31">
      <x:c r="A31" s="8"/>
      <x:c r="B31" s="8"/>
      <x:c r="C31" s="8"/>
      <x:c r="D31" s="8"/>
      <x:c r="E31" s="8"/>
      <x:c r="F31" s="8"/>
      <x:c r="G31" s="8"/>
      <x:c r="H31" s="8"/>
      <x:c r="I31" s="8"/>
      <x:c r="J31" s="8"/>
    </x:row>
    <x:row r="32">
      <x:c r="A32" s="8"/>
      <x:c r="B32" s="8"/>
      <x:c r="C32" s="8"/>
      <x:c r="D32" s="8"/>
      <x:c r="E32" s="8"/>
      <x:c r="F32" s="8"/>
      <x:c r="G32" s="8"/>
      <x:c r="H32" s="8"/>
      <x:c r="I32" s="8"/>
      <x:c r="J32" s="8"/>
    </x:row>
    <x:row r="33">
      <x:c r="A33" s="8"/>
      <x:c r="B33" s="8"/>
      <x:c r="C33" s="8"/>
      <x:c r="D33" s="8"/>
      <x:c r="E33" s="8"/>
      <x:c r="F33" s="8"/>
      <x:c r="G33" s="8"/>
      <x:c r="H33" s="8"/>
      <x:c r="I33" s="8"/>
      <x:c r="J33" s="8"/>
    </x:row>
    <x:row r="34">
      <x:c r="A34" s="8"/>
      <x:c r="B34" s="8"/>
      <x:c r="C34" s="8"/>
      <x:c r="D34" s="8"/>
      <x:c r="E34" s="8"/>
      <x:c r="F34" s="8"/>
      <x:c r="G34" s="8"/>
      <x:c r="H34" s="8"/>
      <x:c r="I34" s="8"/>
      <x:c r="J34" s="8"/>
    </x:row>
    <x:row r="35">
      <x:c r="A35" s="8"/>
      <x:c r="B35" s="8"/>
      <x:c r="C35" s="8"/>
      <x:c r="D35" s="8"/>
      <x:c r="E35" s="8"/>
      <x:c r="F35" s="8"/>
      <x:c r="G35" s="8"/>
      <x:c r="H35" s="8"/>
      <x:c r="I35" s="8"/>
      <x:c r="J35" s="8"/>
    </x:row>
    <x:row r="36">
      <x:c r="A36" s="8"/>
      <x:c r="B36" s="8"/>
      <x:c r="C36" s="8"/>
      <x:c r="D36" s="8"/>
      <x:c r="E36" s="8"/>
      <x:c r="F36" s="8"/>
      <x:c r="G36" s="8"/>
      <x:c r="H36" s="8"/>
      <x:c r="I36" s="8"/>
      <x:c r="J36" s="8"/>
    </x:row>
    <x:row r="37">
      <x:c r="A37" s="8"/>
      <x:c r="B37" s="8"/>
      <x:c r="C37" s="8"/>
      <x:c r="D37" s="8"/>
      <x:c r="E37" s="8"/>
      <x:c r="F37" s="8"/>
      <x:c r="G37" s="8"/>
      <x:c r="H37" s="8"/>
      <x:c r="I37" s="8"/>
      <x:c r="J37" s="8"/>
    </x:row>
    <x:row r="38">
      <x:c r="A38" s="8"/>
      <x:c r="B38" s="8"/>
      <x:c r="C38" s="8"/>
      <x:c r="D38" s="8"/>
      <x:c r="E38" s="8"/>
      <x:c r="F38" s="8"/>
      <x:c r="G38" s="8"/>
      <x:c r="H38" s="8"/>
      <x:c r="I38" s="8"/>
      <x:c r="J38" s="8"/>
    </x:row>
    <x:row r="39">
      <x:c r="A39" s="8"/>
      <x:c r="B39" s="8"/>
      <x:c r="C39" s="8"/>
      <x:c r="D39" s="8"/>
      <x:c r="E39" s="8"/>
      <x:c r="F39" s="8"/>
      <x:c r="G39" s="8"/>
      <x:c r="H39" s="8"/>
      <x:c r="I39" s="8"/>
      <x:c r="J39" s="8"/>
    </x:row>
    <x:row r="40">
      <x:c r="A40" s="8"/>
      <x:c r="B40" s="8"/>
      <x:c r="C40" s="8"/>
      <x:c r="D40" s="8"/>
      <x:c r="E40" s="8"/>
      <x:c r="F40" s="8"/>
      <x:c r="G40" s="8"/>
      <x:c r="H40" s="8"/>
      <x:c r="I40" s="8"/>
      <x:c r="J40" s="8"/>
    </x:row>
    <x:row r="41">
      <x:c r="A41" s="8"/>
      <x:c r="B41" s="8"/>
      <x:c r="C41" s="8"/>
      <x:c r="D41" s="8"/>
      <x:c r="E41" s="8"/>
      <x:c r="F41" s="8"/>
      <x:c r="G41" s="8"/>
      <x:c r="H41" s="8"/>
      <x:c r="I41" s="8"/>
      <x:c r="J41" s="8"/>
    </x:row>
    <x:row r="42">
      <x:c r="A42" s="8"/>
      <x:c r="B42" s="8"/>
      <x:c r="C42" s="8"/>
      <x:c r="D42" s="8"/>
      <x:c r="E42" s="8"/>
      <x:c r="F42" s="8"/>
      <x:c r="G42" s="8"/>
      <x:c r="H42" s="8"/>
      <x:c r="I42" s="8"/>
      <x:c r="J42" s="8"/>
    </x:row>
    <x:row r="43">
      <x:c r="A43" s="8"/>
      <x:c r="B43" s="8"/>
      <x:c r="C43" s="8"/>
      <x:c r="D43" s="8"/>
      <x:c r="E43" s="8"/>
      <x:c r="F43" s="8"/>
      <x:c r="G43" s="8"/>
      <x:c r="H43" s="8"/>
      <x:c r="I43" s="8"/>
      <x:c r="J43" s="8"/>
    </x:row>
    <x:row r="44">
      <x:c r="A44" s="8"/>
      <x:c r="B44" s="8"/>
      <x:c r="C44" s="8"/>
      <x:c r="D44" s="8"/>
      <x:c r="E44" s="8"/>
      <x:c r="F44" s="8"/>
      <x:c r="G44" s="8"/>
      <x:c r="H44" s="8"/>
      <x:c r="I44" s="8"/>
      <x:c r="J44" s="8"/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  <x:c r="J45" s="8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  <x:c r="J46" s="8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</x:row>
  </x:sheetData>
  <x:mergeCells>
    <x:mergeCell ref="A1:J2"/>
    <x:mergeCell ref="A3:J3"/>
    <x:mergeCell ref="A9:J9"/>
    <x:mergeCell ref="A18:J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>
      <x:c r="A1" s="6" t="str">
        <x:v>IREDA | Assumptions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>
      <x:c r="A2" s="6"/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7" t="str">
        <x:v>Portfolio model | INR crore unless stated | Valuation date: 10-Jul-2026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4">
      <x:c r="A4" s="8"/>
      <x:c r="B4" s="8"/>
      <x:c r="C4" s="8"/>
      <x:c r="D4" s="8"/>
      <x:c r="E4" s="8"/>
      <x:c r="F4" s="8"/>
      <x:c r="G4" s="8"/>
      <x:c r="H4" s="8"/>
      <x:c r="I4" s="8"/>
      <x:c r="J4" s="8"/>
    </x:row>
    <x:row r="5">
      <x:c r="A5" s="8"/>
      <x:c r="B5" s="8"/>
      <x:c r="C5" s="8"/>
      <x:c r="D5" s="8"/>
      <x:c r="E5" s="8"/>
      <x:c r="F5" s="8"/>
      <x:c r="G5" s="8"/>
      <x:c r="H5" s="8"/>
      <x:c r="I5" s="8"/>
      <x:c r="J5" s="8"/>
    </x:row>
    <x:row r="6">
      <x:c r="A6" s="9" t="str">
        <x:v>Legend</x:v>
      </x:c>
      <x:c r="B6" s="8"/>
      <x:c r="C6" s="10" t="str">
        <x:v>Blue font = editable input</x:v>
      </x:c>
      <x:c r="D6" s="11" t="str">
        <x:v>Green font = linked formula</x:v>
      </x:c>
      <x:c r="E6" s="12" t="str">
        <x:v>Gray = actual</x:v>
      </x:c>
      <x:c r="F6" s="13" t="str">
        <x:v>Green fill = forecast</x:v>
      </x:c>
      <x:c r="G6" s="8"/>
      <x:c r="H6" s="8"/>
      <x:c r="I6" s="8"/>
      <x:c r="J6" s="8"/>
    </x:row>
    <x:row r="7">
      <x:c r="A7" s="8"/>
      <x:c r="B7" s="8"/>
      <x:c r="C7" s="8"/>
      <x:c r="D7" s="8"/>
      <x:c r="E7" s="8"/>
      <x:c r="F7" s="8"/>
      <x:c r="G7" s="8"/>
      <x:c r="H7" s="8"/>
      <x:c r="I7" s="8"/>
      <x:c r="J7" s="8"/>
    </x:row>
    <x:row r="8">
      <x:c r="A8" s="8"/>
      <x:c r="B8" s="8"/>
      <x:c r="C8" s="21" t="str">
        <x:v>FY24A</x:v>
      </x:c>
      <x:c r="D8" s="21" t="str">
        <x:v>FY25A</x:v>
      </x:c>
      <x:c r="E8" s="21" t="str">
        <x:v>FY26A</x:v>
      </x:c>
      <x:c r="F8" s="23" t="str">
        <x:v>FY27E</x:v>
      </x:c>
      <x:c r="G8" s="23" t="str">
        <x:v>FY28E</x:v>
      </x:c>
      <x:c r="H8" s="23" t="str">
        <x:v>FY29E</x:v>
      </x:c>
      <x:c r="I8" s="23" t="str">
        <x:v>FY30E</x:v>
      </x:c>
      <x:c r="J8" s="23" t="str">
        <x:v>FY31E</x:v>
      </x:c>
    </x:row>
    <x:row r="9">
      <x:c r="A9" s="8"/>
      <x:c r="B9" s="8"/>
      <x:c r="C9" s="8"/>
      <x:c r="D9" s="8"/>
      <x:c r="E9" s="8"/>
      <x:c r="F9" s="8"/>
      <x:c r="G9" s="8"/>
      <x:c r="H9" s="8"/>
      <x:c r="I9" s="8"/>
      <x:c r="J9" s="8"/>
    </x:row>
    <x:row r="10">
      <x:c r="A10" s="16" t="str">
        <x:v>LENDER OPERATING ASSUMPTIONS</x:v>
      </x:c>
      <x:c r="B10" s="16"/>
      <x:c r="C10" s="16"/>
      <x:c r="D10" s="16"/>
      <x:c r="E10" s="16"/>
      <x:c r="F10" s="16"/>
      <x:c r="G10" s="16"/>
      <x:c r="H10" s="16"/>
      <x:c r="I10" s="16"/>
      <x:c r="J10" s="16"/>
    </x:row>
    <x:row r="11">
      <x:c r="A11" s="8" t="str">
        <x:v>Loan book growth</x:v>
      </x:c>
      <x:c r="B11" s="8"/>
      <x:c r="C11" s="19"/>
      <x:c r="D11" s="19" t="n">
        <x:v>0.282</x:v>
      </x:c>
      <x:c r="E11" s="19" t="n">
        <x:v>0.22</x:v>
      </x:c>
      <x:c r="F11" s="25" t="n">
        <x:v>0.18</x:v>
      </x:c>
      <x:c r="G11" s="25" t="n">
        <x:v>0.17</x:v>
      </x:c>
      <x:c r="H11" s="25" t="n">
        <x:v>0.16</x:v>
      </x:c>
      <x:c r="I11" s="25" t="n">
        <x:v>0.15</x:v>
      </x:c>
      <x:c r="J11" s="25" t="n">
        <x:v>0.14</x:v>
      </x:c>
    </x:row>
    <x:row r="12">
      <x:c r="A12" s="8" t="str">
        <x:v>Yield on average loans</x:v>
      </x:c>
      <x:c r="B12" s="8"/>
      <x:c r="C12" s="19"/>
      <x:c r="D12" s="19" t="n">
        <x:v>0.098</x:v>
      </x:c>
      <x:c r="E12" s="19" t="n">
        <x:v>0.1003</x:v>
      </x:c>
      <x:c r="F12" s="25" t="n">
        <x:v>0.1</x:v>
      </x:c>
      <x:c r="G12" s="25" t="n">
        <x:v>0.099</x:v>
      </x:c>
      <x:c r="H12" s="25" t="n">
        <x:v>0.098</x:v>
      </x:c>
      <x:c r="I12" s="25" t="n">
        <x:v>0.097</x:v>
      </x:c>
      <x:c r="J12" s="25" t="n">
        <x:v>0.096</x:v>
      </x:c>
    </x:row>
    <x:row r="13">
      <x:c r="A13" s="8" t="str">
        <x:v>Cost of average borrowings</x:v>
      </x:c>
      <x:c r="B13" s="8"/>
      <x:c r="C13" s="19"/>
      <x:c r="D13" s="19" t="n">
        <x:v>0.0705</x:v>
      </x:c>
      <x:c r="E13" s="19" t="n">
        <x:v>0.0761</x:v>
      </x:c>
      <x:c r="F13" s="25" t="n">
        <x:v>0.075</x:v>
      </x:c>
      <x:c r="G13" s="25" t="n">
        <x:v>0.074</x:v>
      </x:c>
      <x:c r="H13" s="25" t="n">
        <x:v>0.073</x:v>
      </x:c>
      <x:c r="I13" s="25" t="n">
        <x:v>0.072</x:v>
      </x:c>
      <x:c r="J13" s="25" t="n">
        <x:v>0.071</x:v>
      </x:c>
    </x:row>
    <x:row r="14">
      <x:c r="A14" s="8" t="str">
        <x:v>Fee &amp; other income / avg loans</x:v>
      </x:c>
      <x:c r="B14" s="8"/>
      <x:c r="C14" s="19"/>
      <x:c r="D14" s="19" t="n">
        <x:v>0.0023</x:v>
      </x:c>
      <x:c r="E14" s="19" t="n">
        <x:v>0.0035</x:v>
      </x:c>
      <x:c r="F14" s="25" t="n">
        <x:v>0.0035</x:v>
      </x:c>
      <x:c r="G14" s="25" t="n">
        <x:v>0.0035</x:v>
      </x:c>
      <x:c r="H14" s="25" t="n">
        <x:v>0.0035</x:v>
      </x:c>
      <x:c r="I14" s="25" t="n">
        <x:v>0.0035</x:v>
      </x:c>
      <x:c r="J14" s="25" t="n">
        <x:v>0.0035</x:v>
      </x:c>
    </x:row>
    <x:row r="15">
      <x:c r="A15" s="8" t="str">
        <x:v>Credit cost / avg loans</x:v>
      </x:c>
      <x:c r="B15" s="8"/>
      <x:c r="C15" s="19"/>
      <x:c r="D15" s="19" t="n">
        <x:v>0.0035</x:v>
      </x:c>
      <x:c r="E15" s="19" t="n">
        <x:v>0.0093</x:v>
      </x:c>
      <x:c r="F15" s="25" t="n">
        <x:v>0.006</x:v>
      </x:c>
      <x:c r="G15" s="25" t="n">
        <x:v>0.005</x:v>
      </x:c>
      <x:c r="H15" s="25" t="n">
        <x:v>0.0045</x:v>
      </x:c>
      <x:c r="I15" s="25" t="n">
        <x:v>0.004</x:v>
      </x:c>
      <x:c r="J15" s="25" t="n">
        <x:v>0.0038</x:v>
      </x:c>
    </x:row>
    <x:row r="16">
      <x:c r="A16" s="8" t="str">
        <x:v>Operating expense / avg assets</x:v>
      </x:c>
      <x:c r="B16" s="8"/>
      <x:c r="C16" s="19"/>
      <x:c r="D16" s="19" t="n">
        <x:v>0.003</x:v>
      </x:c>
      <x:c r="E16" s="19" t="n">
        <x:v>0.003</x:v>
      </x:c>
      <x:c r="F16" s="25" t="n">
        <x:v>0.003</x:v>
      </x:c>
      <x:c r="G16" s="25" t="n">
        <x:v>0.0029</x:v>
      </x:c>
      <x:c r="H16" s="25" t="n">
        <x:v>0.0028</x:v>
      </x:c>
      <x:c r="I16" s="25" t="n">
        <x:v>0.0028</x:v>
      </x:c>
      <x:c r="J16" s="25" t="n">
        <x:v>0.0027</x:v>
      </x:c>
    </x:row>
    <x:row r="17">
      <x:c r="A17" s="8" t="str">
        <x:v>Tax rate</x:v>
      </x:c>
      <x:c r="B17" s="8"/>
      <x:c r="C17" s="19"/>
      <x:c r="D17" s="19" t="n">
        <x:v>0.193</x:v>
      </x:c>
      <x:c r="E17" s="19" t="n">
        <x:v>0.199</x:v>
      </x:c>
      <x:c r="F17" s="25" t="n">
        <x:v>0.245</x:v>
      </x:c>
      <x:c r="G17" s="25" t="n">
        <x:v>0.245</x:v>
      </x:c>
      <x:c r="H17" s="25" t="n">
        <x:v>0.245</x:v>
      </x:c>
      <x:c r="I17" s="25" t="n">
        <x:v>0.245</x:v>
      </x:c>
      <x:c r="J17" s="25" t="n">
        <x:v>0.245</x:v>
      </x:c>
    </x:row>
    <x:row r="18">
      <x:c r="A18" s="8" t="str">
        <x:v>Incremental loan funding by debt</x:v>
      </x:c>
      <x:c r="B18" s="8"/>
      <x:c r="C18" s="19"/>
      <x:c r="D18" s="19"/>
      <x:c r="E18" s="19"/>
      <x:c r="F18" s="25" t="n">
        <x:v>0.9</x:v>
      </x:c>
      <x:c r="G18" s="25" t="n">
        <x:v>0.9</x:v>
      </x:c>
      <x:c r="H18" s="25" t="n">
        <x:v>0.9</x:v>
      </x:c>
      <x:c r="I18" s="25" t="n">
        <x:v>0.9</x:v>
      </x:c>
      <x:c r="J18" s="25" t="n">
        <x:v>0.9</x:v>
      </x:c>
    </x:row>
    <x:row r="19">
      <x:c r="A19" s="8" t="str">
        <x:v>Dividend payout</x:v>
      </x:c>
      <x:c r="B19" s="8"/>
      <x:c r="C19" s="19"/>
      <x:c r="D19" s="19" t="n">
        <x:v>0.14</x:v>
      </x:c>
      <x:c r="E19" s="19" t="n">
        <x:v>0.13</x:v>
      </x:c>
      <x:c r="F19" s="25" t="n">
        <x:v>0.12</x:v>
      </x:c>
      <x:c r="G19" s="25" t="n">
        <x:v>0.15</x:v>
      </x:c>
      <x:c r="H19" s="25" t="n">
        <x:v>0.18</x:v>
      </x:c>
      <x:c r="I19" s="25" t="n">
        <x:v>0.22</x:v>
      </x:c>
      <x:c r="J19" s="25" t="n">
        <x:v>0.25</x:v>
      </x:c>
    </x:row>
    <x:row r="20">
      <x:c r="A20" s="8" t="str">
        <x:v>Other assets / loan book</x:v>
      </x:c>
      <x:c r="B20" s="8"/>
      <x:c r="C20" s="19"/>
      <x:c r="D20" s="19"/>
      <x:c r="E20" s="19" t="n">
        <x:v>0.032</x:v>
      </x:c>
      <x:c r="F20" s="25" t="n">
        <x:v>0.032</x:v>
      </x:c>
      <x:c r="G20" s="25" t="n">
        <x:v>0.032</x:v>
      </x:c>
      <x:c r="H20" s="25" t="n">
        <x:v>0.031</x:v>
      </x:c>
      <x:c r="I20" s="25" t="n">
        <x:v>0.031</x:v>
      </x:c>
      <x:c r="J20" s="25" t="n">
        <x:v>0.03</x:v>
      </x:c>
    </x:row>
    <x:row r="21">
      <x:c r="A21" s="8" t="str">
        <x:v>Other liabilities / loan book</x:v>
      </x:c>
      <x:c r="B21" s="8"/>
      <x:c r="C21" s="19"/>
      <x:c r="D21" s="19"/>
      <x:c r="E21" s="19" t="n">
        <x:v>0.023</x:v>
      </x:c>
      <x:c r="F21" s="25" t="n">
        <x:v>0.023</x:v>
      </x:c>
      <x:c r="G21" s="25" t="n">
        <x:v>0.023</x:v>
      </x:c>
      <x:c r="H21" s="25" t="n">
        <x:v>0.023</x:v>
      </x:c>
      <x:c r="I21" s="25" t="n">
        <x:v>0.022</x:v>
      </x:c>
      <x:c r="J21" s="25" t="n">
        <x:v>0.022</x:v>
      </x:c>
    </x:row>
    <x:row r="22">
      <x:c r="A22" s="8"/>
      <x:c r="B22" s="8"/>
      <x:c r="C22" s="8"/>
      <x:c r="D22" s="8"/>
      <x:c r="E22" s="8"/>
      <x:c r="F22" s="8"/>
      <x:c r="G22" s="8"/>
      <x:c r="H22" s="8"/>
      <x:c r="I22" s="8"/>
      <x:c r="J22" s="8"/>
    </x:row>
    <x:row r="23">
      <x:c r="A23" s="8"/>
      <x:c r="B23" s="8"/>
      <x:c r="C23" s="8"/>
      <x:c r="D23" s="8"/>
      <x:c r="E23" s="8"/>
      <x:c r="F23" s="8"/>
      <x:c r="G23" s="8"/>
      <x:c r="H23" s="8"/>
      <x:c r="I23" s="8"/>
      <x:c r="J23" s="8"/>
    </x:row>
    <x:row r="24">
      <x:c r="A24" s="16" t="str">
        <x:v>VALUATION ASSUMPTIONS</x:v>
      </x:c>
      <x:c r="B24" s="16"/>
      <x:c r="C24" s="16"/>
      <x:c r="D24" s="16"/>
      <x:c r="E24" s="16"/>
      <x:c r="F24" s="16"/>
      <x:c r="G24" s="16"/>
      <x:c r="H24" s="16"/>
      <x:c r="I24" s="16"/>
      <x:c r="J24" s="16"/>
    </x:row>
    <x:row r="25">
      <x:c r="A25" s="8" t="str">
        <x:v>Risk-free rate</x:v>
      </x:c>
      <x:c r="B25" s="8" t="str"/>
      <x:c r="C25" s="24" t="n">
        <x:v>0.0677</x:v>
      </x:c>
      <x:c r="D25" s="8"/>
      <x:c r="E25" s="8"/>
      <x:c r="F25" s="8"/>
      <x:c r="G25" s="8"/>
      <x:c r="H25" s="8"/>
      <x:c r="I25" s="8"/>
      <x:c r="J25" s="8"/>
    </x:row>
    <x:row r="26">
      <x:c r="A26" s="8" t="str">
        <x:v>Equity risk premium</x:v>
      </x:c>
      <x:c r="B26" s="8" t="str"/>
      <x:c r="C26" s="24" t="n">
        <x:v>0.06</x:v>
      </x:c>
      <x:c r="D26" s="8"/>
      <x:c r="E26" s="8"/>
      <x:c r="F26" s="8"/>
      <x:c r="G26" s="8"/>
      <x:c r="H26" s="8"/>
      <x:c r="I26" s="8"/>
      <x:c r="J26" s="8"/>
    </x:row>
    <x:row r="27">
      <x:c r="A27" s="8" t="str">
        <x:v>Beta</x:v>
      </x:c>
      <x:c r="B27" s="8" t="str"/>
      <x:c r="C27" s="24" t="n">
        <x:v>1.05</x:v>
      </x:c>
      <x:c r="D27" s="8"/>
      <x:c r="E27" s="8"/>
      <x:c r="F27" s="8"/>
      <x:c r="G27" s="8"/>
      <x:c r="H27" s="8"/>
      <x:c r="I27" s="8"/>
      <x:c r="J27" s="8"/>
    </x:row>
    <x:row r="28">
      <x:c r="A28" s="8" t="str">
        <x:v>Cost of equity</x:v>
      </x:c>
      <x:c r="B28" s="8" t="str"/>
      <x:c r="C28" s="19" t="n">
        <x:f>C25+C26*C27</x:f>
        <x:v>0.13069999999999998</x:v>
      </x:c>
      <x:c r="D28" s="8"/>
      <x:c r="E28" s="8"/>
      <x:c r="F28" s="8"/>
      <x:c r="G28" s="8"/>
      <x:c r="H28" s="8"/>
      <x:c r="I28" s="8"/>
      <x:c r="J28" s="8"/>
    </x:row>
    <x:row r="29">
      <x:c r="A29" s="8" t="str">
        <x:v>Terminal growth</x:v>
      </x:c>
      <x:c r="B29" s="8" t="str"/>
      <x:c r="C29" s="24" t="n">
        <x:v>0.05</x:v>
      </x:c>
      <x:c r="D29" s="8"/>
      <x:c r="E29" s="8"/>
      <x:c r="F29" s="8"/>
      <x:c r="G29" s="8"/>
      <x:c r="H29" s="8"/>
      <x:c r="I29" s="8"/>
      <x:c r="J29" s="8"/>
    </x:row>
    <x:row r="30">
      <x:c r="A30" s="8" t="str">
        <x:v>Shares outstanding (crore)</x:v>
      </x:c>
      <x:c r="B30" s="8" t="str"/>
      <x:c r="C30" s="10" t="n">
        <x:v>280.9</x:v>
      </x:c>
      <x:c r="D30" s="8"/>
      <x:c r="E30" s="8"/>
      <x:c r="F30" s="8"/>
      <x:c r="G30" s="8"/>
      <x:c r="H30" s="8"/>
      <x:c r="I30" s="8"/>
      <x:c r="J30" s="8"/>
    </x:row>
    <x:row r="31">
      <x:c r="A31" s="8" t="str">
        <x:v>Current price</x:v>
      </x:c>
      <x:c r="B31" s="8" t="str"/>
      <x:c r="C31" s="26" t="n">
        <x:v>126.4</x:v>
      </x:c>
      <x:c r="D31" s="8"/>
      <x:c r="E31" s="8"/>
      <x:c r="F31" s="8"/>
      <x:c r="G31" s="8"/>
      <x:c r="H31" s="8"/>
      <x:c r="I31" s="8"/>
      <x:c r="J31" s="8"/>
    </x:row>
    <x:row r="32">
      <x:c r="A32" s="8"/>
      <x:c r="B32" s="8"/>
      <x:c r="C32" s="8"/>
      <x:c r="D32" s="8"/>
      <x:c r="E32" s="8"/>
      <x:c r="F32" s="8"/>
      <x:c r="G32" s="8"/>
      <x:c r="H32" s="8"/>
      <x:c r="I32" s="8"/>
      <x:c r="J32" s="8"/>
    </x:row>
    <x:row r="33">
      <x:c r="A33" s="8"/>
      <x:c r="B33" s="8"/>
      <x:c r="C33" s="8"/>
      <x:c r="D33" s="8"/>
      <x:c r="E33" s="8"/>
      <x:c r="F33" s="8"/>
      <x:c r="G33" s="8"/>
      <x:c r="H33" s="8"/>
      <x:c r="I33" s="8"/>
      <x:c r="J33" s="8"/>
    </x:row>
    <x:row r="34">
      <x:c r="A34" s="8"/>
      <x:c r="B34" s="8"/>
      <x:c r="C34" s="8"/>
      <x:c r="D34" s="8"/>
      <x:c r="E34" s="8"/>
      <x:c r="F34" s="8"/>
      <x:c r="G34" s="8"/>
      <x:c r="H34" s="8"/>
      <x:c r="I34" s="8"/>
      <x:c r="J34" s="8"/>
    </x:row>
    <x:row r="35">
      <x:c r="A35" s="8"/>
      <x:c r="B35" s="8"/>
      <x:c r="C35" s="8"/>
      <x:c r="D35" s="8"/>
      <x:c r="E35" s="8"/>
      <x:c r="F35" s="8"/>
      <x:c r="G35" s="8"/>
      <x:c r="H35" s="8"/>
      <x:c r="I35" s="8"/>
      <x:c r="J35" s="8"/>
    </x:row>
    <x:row r="36">
      <x:c r="A36" s="8"/>
      <x:c r="B36" s="8"/>
      <x:c r="C36" s="8"/>
      <x:c r="D36" s="8"/>
      <x:c r="E36" s="8"/>
      <x:c r="F36" s="8"/>
      <x:c r="G36" s="8"/>
      <x:c r="H36" s="8"/>
      <x:c r="I36" s="8"/>
      <x:c r="J36" s="8"/>
    </x:row>
    <x:row r="37">
      <x:c r="A37" s="8"/>
      <x:c r="B37" s="8"/>
      <x:c r="C37" s="8"/>
      <x:c r="D37" s="8"/>
      <x:c r="E37" s="8"/>
      <x:c r="F37" s="8"/>
      <x:c r="G37" s="8"/>
      <x:c r="H37" s="8"/>
      <x:c r="I37" s="8"/>
      <x:c r="J37" s="8"/>
    </x:row>
    <x:row r="38">
      <x:c r="A38" s="8"/>
      <x:c r="B38" s="8"/>
      <x:c r="C38" s="8"/>
      <x:c r="D38" s="8"/>
      <x:c r="E38" s="8"/>
      <x:c r="F38" s="8"/>
      <x:c r="G38" s="8"/>
      <x:c r="H38" s="8"/>
      <x:c r="I38" s="8"/>
      <x:c r="J38" s="8"/>
    </x:row>
    <x:row r="39">
      <x:c r="A39" s="8"/>
      <x:c r="B39" s="8"/>
      <x:c r="C39" s="8"/>
      <x:c r="D39" s="8"/>
      <x:c r="E39" s="8"/>
      <x:c r="F39" s="8"/>
      <x:c r="G39" s="8"/>
      <x:c r="H39" s="8"/>
      <x:c r="I39" s="8"/>
      <x:c r="J39" s="8"/>
    </x:row>
    <x:row r="40">
      <x:c r="A40" s="8"/>
      <x:c r="B40" s="8"/>
      <x:c r="C40" s="8"/>
      <x:c r="D40" s="8"/>
      <x:c r="E40" s="8"/>
      <x:c r="F40" s="8"/>
      <x:c r="G40" s="8"/>
      <x:c r="H40" s="8"/>
      <x:c r="I40" s="8"/>
      <x:c r="J40" s="8"/>
    </x:row>
    <x:row r="41">
      <x:c r="A41" s="8"/>
      <x:c r="B41" s="8"/>
      <x:c r="C41" s="8"/>
      <x:c r="D41" s="8"/>
      <x:c r="E41" s="8"/>
      <x:c r="F41" s="8"/>
      <x:c r="G41" s="8"/>
      <x:c r="H41" s="8"/>
      <x:c r="I41" s="8"/>
      <x:c r="J41" s="8"/>
    </x:row>
    <x:row r="42">
      <x:c r="A42" s="8"/>
      <x:c r="B42" s="8"/>
      <x:c r="C42" s="8"/>
      <x:c r="D42" s="8"/>
      <x:c r="E42" s="8"/>
      <x:c r="F42" s="8"/>
      <x:c r="G42" s="8"/>
      <x:c r="H42" s="8"/>
      <x:c r="I42" s="8"/>
      <x:c r="J42" s="8"/>
    </x:row>
    <x:row r="43">
      <x:c r="A43" s="8"/>
      <x:c r="B43" s="8"/>
      <x:c r="C43" s="8"/>
      <x:c r="D43" s="8"/>
      <x:c r="E43" s="8"/>
      <x:c r="F43" s="8"/>
      <x:c r="G43" s="8"/>
      <x:c r="H43" s="8"/>
      <x:c r="I43" s="8"/>
      <x:c r="J43" s="8"/>
    </x:row>
    <x:row r="44">
      <x:c r="A44" s="8"/>
      <x:c r="B44" s="8"/>
      <x:c r="C44" s="8"/>
      <x:c r="D44" s="8"/>
      <x:c r="E44" s="8"/>
      <x:c r="F44" s="8"/>
      <x:c r="G44" s="8"/>
      <x:c r="H44" s="8"/>
      <x:c r="I44" s="8"/>
      <x:c r="J44" s="8"/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  <x:c r="J45" s="8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  <x:c r="J46" s="8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</x:row>
  </x:sheetData>
  <x:mergeCells>
    <x:mergeCell ref="A1:J2"/>
    <x:mergeCell ref="A3:J3"/>
    <x:mergeCell ref="A10:J10"/>
    <x:mergeCell ref="A11:B11"/>
    <x:mergeCell ref="A12:B12"/>
    <x:mergeCell ref="A13:B13"/>
    <x:mergeCell ref="A14:B14"/>
    <x:mergeCell ref="A15:B15"/>
    <x:mergeCell ref="A16:B16"/>
    <x:mergeCell ref="A17:B17"/>
    <x:mergeCell ref="A18:B18"/>
    <x:mergeCell ref="A19:B19"/>
    <x:mergeCell ref="A20:B20"/>
    <x:mergeCell ref="A21:B21"/>
    <x:mergeCell ref="A24:J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>
      <x:c r="A1" s="6" t="str">
        <x:v>IREDA | Integrated Lender Model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>
      <x:c r="A2" s="6"/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7" t="str">
        <x:v>Portfolio model | INR crore unless stated | Valuation date: 10-Jul-2026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4">
      <x:c r="A4" s="8"/>
      <x:c r="B4" s="8"/>
      <x:c r="C4" s="8"/>
      <x:c r="D4" s="8"/>
      <x:c r="E4" s="8"/>
      <x:c r="F4" s="8"/>
      <x:c r="G4" s="8"/>
      <x:c r="H4" s="8"/>
      <x:c r="I4" s="8"/>
      <x:c r="J4" s="8"/>
    </x:row>
    <x:row r="5">
      <x:c r="A5" s="8"/>
      <x:c r="B5" s="8"/>
      <x:c r="C5" s="8"/>
      <x:c r="D5" s="8"/>
      <x:c r="E5" s="8"/>
      <x:c r="F5" s="8"/>
      <x:c r="G5" s="8"/>
      <x:c r="H5" s="8"/>
      <x:c r="I5" s="8"/>
      <x:c r="J5" s="8"/>
    </x:row>
    <x:row r="6">
      <x:c r="A6" s="8"/>
      <x:c r="B6" s="8"/>
      <x:c r="C6" s="21" t="str">
        <x:v>FY24A</x:v>
      </x:c>
      <x:c r="D6" s="21" t="str">
        <x:v>FY25A</x:v>
      </x:c>
      <x:c r="E6" s="21" t="str">
        <x:v>FY26A</x:v>
      </x:c>
      <x:c r="F6" s="23" t="str">
        <x:v>FY27E</x:v>
      </x:c>
      <x:c r="G6" s="23" t="str">
        <x:v>FY28E</x:v>
      </x:c>
      <x:c r="H6" s="23" t="str">
        <x:v>FY29E</x:v>
      </x:c>
      <x:c r="I6" s="23" t="str">
        <x:v>FY30E</x:v>
      </x:c>
      <x:c r="J6" s="23" t="str">
        <x:v>FY31E</x:v>
      </x:c>
    </x:row>
    <x:row r="7">
      <x:c r="A7" s="8"/>
      <x:c r="B7" s="8"/>
      <x:c r="C7" s="8"/>
      <x:c r="D7" s="8"/>
      <x:c r="E7" s="8"/>
      <x:c r="F7" s="8"/>
      <x:c r="G7" s="8"/>
      <x:c r="H7" s="8"/>
      <x:c r="I7" s="8"/>
      <x:c r="J7" s="8"/>
    </x:row>
    <x:row r="8">
      <x:c r="A8" s="16" t="str">
        <x:v>INCOME STATEMENT</x:v>
      </x:c>
      <x:c r="B8" s="16"/>
      <x:c r="C8" s="16"/>
      <x:c r="D8" s="16"/>
      <x:c r="E8" s="16"/>
      <x:c r="F8" s="16"/>
      <x:c r="G8" s="16"/>
      <x:c r="H8" s="16"/>
      <x:c r="I8" s="16"/>
      <x:c r="J8" s="16"/>
    </x:row>
    <x:row r="9">
      <x:c r="A9" s="8" t="str">
        <x:v>Interest income</x:v>
      </x:c>
      <x:c r="B9" s="8"/>
      <x:c r="C9" s="36" t="n">
        <x:v>4822.4</x:v>
      </x:c>
      <x:c r="D9" s="36" t="n">
        <x:v>6575.39</x:v>
      </x:c>
      <x:c r="E9" s="36" t="n">
        <x:v>8204</x:v>
      </x:c>
      <x:c r="F9" s="40" t="n">
        <x:f>AVERAGE(E28,F28)*'Assumptions'!F12</x:f>
        <x:v>9831.473</x:v>
      </x:c>
      <x:c r="G9" s="40" t="n">
        <x:f>AVERAGE(F28,G28)*'Assumptions'!G12</x:f>
        <x:v>11432.4426909</x:v>
      </x:c>
      <x:c r="H9" s="40" t="n">
        <x:f>AVERAGE(G28,H28)*'Assumptions'!H12</x:f>
        <x:v>13179.829532687996</x:v>
      </x:c>
      <x:c r="I9" s="40" t="n">
        <x:f>AVERAGE(H28,I28)*'Assumptions'!I12</x:f>
        <x:v>15062.537797093795</x:v>
      </x:c>
      <x:c r="J9" s="40" t="n">
        <x:f>AVERAGE(I28,J28)*'Assumptions'!J12</x:f>
        <x:v>17063.605513259132</x:v>
      </x:c>
    </x:row>
    <x:row r="10">
      <x:c r="A10" s="8" t="str">
        <x:v>Fees &amp; other income</x:v>
      </x:c>
      <x:c r="B10" s="8"/>
      <x:c r="C10" s="36" t="n">
        <x:v>142.89</x:v>
      </x:c>
      <x:c r="D10" s="36" t="n">
        <x:v>179.39</x:v>
      </x:c>
      <x:c r="E10" s="36" t="n">
        <x:v>133</x:v>
      </x:c>
      <x:c r="F10" s="40" t="n">
        <x:f>AVERAGE(E28,F28)*'Assumptions'!F14</x:f>
        <x:v>344.101555</x:v>
      </x:c>
      <x:c r="G10" s="40" t="n">
        <x:f>AVERAGE(F28,G28)*'Assumptions'!G14</x:f>
        <x:v>404.17726684999997</x:v>
      </x:c>
      <x:c r="H10" s="40" t="n">
        <x:f>AVERAGE(G28,H28)*'Assumptions'!H14</x:f>
        <x:v>470.7081975959999</x:v>
      </x:c>
      <x:c r="I10" s="40" t="n">
        <x:f>AVERAGE(H28,I28)*'Assumptions'!I14</x:f>
        <x:v>543.4936318538998</x:v>
      </x:c>
      <x:c r="J10" s="40" t="n">
        <x:f>AVERAGE(I28,J28)*'Assumptions'!J14</x:f>
        <x:v>622.1106176709059</x:v>
      </x:c>
    </x:row>
    <x:row r="11">
      <x:c r="A11" s="32" t="str">
        <x:v>Total income</x:v>
      </x:c>
      <x:c r="B11" s="32"/>
      <x:c r="C11" s="37" t="n">
        <x:v>4965.29</x:v>
      </x:c>
      <x:c r="D11" s="37" t="n">
        <x:v>6754.78</x:v>
      </x:c>
      <x:c r="E11" s="37" t="n">
        <x:v>8337</x:v>
      </x:c>
      <x:c r="F11" s="41" t="n">
        <x:f>SUM(F9:F10)</x:f>
        <x:v>10175.574555</x:v>
      </x:c>
      <x:c r="G11" s="41" t="n">
        <x:f>SUM(G9:G10)</x:f>
        <x:v>11836.61995775</x:v>
      </x:c>
      <x:c r="H11" s="41" t="n">
        <x:f>SUM(H9:H10)</x:f>
        <x:v>13650.537730283995</x:v>
      </x:c>
      <x:c r="I11" s="41" t="n">
        <x:f>SUM(I9:I10)</x:f>
        <x:v>15606.031428947696</x:v>
      </x:c>
      <x:c r="J11" s="41" t="n">
        <x:f>SUM(J9:J10)</x:f>
        <x:v>17685.71613093004</x:v>
      </x:c>
    </x:row>
    <x:row r="12">
      <x:c r="A12" s="8" t="str">
        <x:v>Finance cost</x:v>
      </x:c>
      <x:c r="B12" s="8"/>
      <x:c r="C12" s="36" t="n">
        <x:v>3164.1</x:v>
      </x:c>
      <x:c r="D12" s="36" t="n">
        <x:v>4141.03</x:v>
      </x:c>
      <x:c r="E12" s="36" t="n">
        <x:v>4905</x:v>
      </x:c>
      <x:c r="F12" s="40" t="n">
        <x:f>AVERAGE(E33,F33)*'Assumptions'!F13</x:f>
        <x:v>6386.396774999999</x:v>
      </x:c>
      <x:c r="G12" s="40" t="n">
        <x:f>AVERAGE(F33,G33)*'Assumptions'!G13</x:f>
        <x:v>7444.3997920599995</x:v>
      </x:c>
      <x:c r="H12" s="40" t="n">
        <x:f>AVERAGE(G33,H33)*'Assumptions'!H13</x:f>
        <x:v>8592.680409159198</x:v>
      </x:c>
      <x:c r="I12" s="40" t="n">
        <x:f>AVERAGE(H33,I33)*'Assumptions'!I13</x:f>
        <x:v>9822.542784037916</x:v>
      </x:c>
      <x:c r="J12" s="40" t="n">
        <x:f>AVERAGE(I33,J33)*'Assumptions'!J13</x:f>
        <x:v>11121.440119763107</x:v>
      </x:c>
    </x:row>
    <x:row r="13">
      <x:c r="A13" s="32" t="str">
        <x:v>Net interest &amp; fee income</x:v>
      </x:c>
      <x:c r="B13" s="32"/>
      <x:c r="C13" s="37" t="n">
        <x:v>1801.19</x:v>
      </x:c>
      <x:c r="D13" s="37" t="n">
        <x:v>2613.75</x:v>
      </x:c>
      <x:c r="E13" s="37" t="n">
        <x:v>3432</x:v>
      </x:c>
      <x:c r="F13" s="41" t="n">
        <x:f>F11-F12</x:f>
        <x:v>3789.17778</x:v>
      </x:c>
      <x:c r="G13" s="41" t="n">
        <x:f>G11-G12</x:f>
        <x:v>4392.22016569</x:v>
      </x:c>
      <x:c r="H13" s="41" t="n">
        <x:f>H11-H12</x:f>
        <x:v>5057.857321124797</x:v>
      </x:c>
      <x:c r="I13" s="41" t="n">
        <x:f>I11-I12</x:f>
        <x:v>5783.488644909779</x:v>
      </x:c>
      <x:c r="J13" s="41" t="n">
        <x:f>J11-J12</x:f>
        <x:v>6564.276011166932</x:v>
      </x:c>
    </x:row>
    <x:row r="14">
      <x:c r="A14" s="8" t="str">
        <x:v>Impairment / credit cost</x:v>
      </x:c>
      <x:c r="B14" s="8"/>
      <x:c r="C14" s="36" t="n">
        <x:v>-67.22</x:v>
      </x:c>
      <x:c r="D14" s="36" t="n">
        <x:v>237.23</x:v>
      </x:c>
      <x:c r="E14" s="36" t="n">
        <x:v>777</x:v>
      </x:c>
      <x:c r="F14" s="40" t="n">
        <x:f>AVERAGE(E28,F28)*'Assumptions'!F15</x:f>
        <x:v>589.88838</x:v>
      </x:c>
      <x:c r="G14" s="40" t="n">
        <x:f>AVERAGE(F28,G28)*'Assumptions'!G15</x:f>
        <x:v>577.3960955</x:v>
      </x:c>
      <x:c r="H14" s="40" t="n">
        <x:f>AVERAGE(G28,H28)*'Assumptions'!H15</x:f>
        <x:v>605.1962540519997</x:v>
      </x:c>
      <x:c r="I14" s="40" t="n">
        <x:f>AVERAGE(H28,I28)*'Assumptions'!I15</x:f>
        <x:v>621.1355792615998</x:v>
      </x:c>
      <x:c r="J14" s="40" t="n">
        <x:f>AVERAGE(I28,J28)*'Assumptions'!J15</x:f>
        <x:v>675.4343848998407</x:v>
      </x:c>
    </x:row>
    <x:row r="15">
      <x:c r="A15" s="8" t="str">
        <x:v>Operating expenses</x:v>
      </x:c>
      <x:c r="B15" s="8"/>
      <x:c r="C15" s="36" t="n">
        <x:v>183.16</x:v>
      </x:c>
      <x:c r="D15" s="36" t="n">
        <x:v>230.34</x:v>
      </x:c>
      <x:c r="E15" s="36" t="n">
        <x:v>318</x:v>
      </x:c>
      <x:c r="F15" s="40" t="n">
        <x:f>AVERAGE(E31,F31)*'Assumptions'!F16</x:f>
        <x:v>140.703</x:v>
      </x:c>
      <x:c r="G15" s="40" t="n">
        <x:f>AVERAGE(F31,G31)*'Assumptions'!G16</x:f>
        <x:v>0</x:v>
      </x:c>
      <x:c r="H15" s="40" t="n">
        <x:f>AVERAGE(G31,H31)*'Assumptions'!H16</x:f>
        <x:v>0</x:v>
      </x:c>
      <x:c r="I15" s="40" t="n">
        <x:f>AVERAGE(H31,I31)*'Assumptions'!I16</x:f>
        <x:v>0</x:v>
      </x:c>
      <x:c r="J15" s="40" t="n">
        <x:f>AVERAGE(I31,J31)*'Assumptions'!J16</x:f>
        <x:v>0</x:v>
      </x:c>
    </x:row>
    <x:row r="16">
      <x:c r="A16" s="32" t="str">
        <x:v>Profit before tax</x:v>
      </x:c>
      <x:c r="B16" s="32"/>
      <x:c r="C16" s="37" t="n">
        <x:v>1685.25</x:v>
      </x:c>
      <x:c r="D16" s="37" t="n">
        <x:v>2103.8</x:v>
      </x:c>
      <x:c r="E16" s="37" t="n">
        <x:v>2337</x:v>
      </x:c>
      <x:c r="F16" s="41" t="n">
        <x:f>F13-F14-F15</x:f>
        <x:v>3058.5864</x:v>
      </x:c>
      <x:c r="G16" s="41" t="n">
        <x:f>G13-G14-G15</x:f>
        <x:v>3814.8240701899995</x:v>
      </x:c>
      <x:c r="H16" s="41" t="n">
        <x:f>H13-H14-H15</x:f>
        <x:v>4452.661067072797</x:v>
      </x:c>
      <x:c r="I16" s="41" t="n">
        <x:f>I13-I14-I15</x:f>
        <x:v>5162.35306564818</x:v>
      </x:c>
      <x:c r="J16" s="41" t="n">
        <x:f>J13-J14-J15</x:f>
        <x:v>5888.841626267092</x:v>
      </x:c>
    </x:row>
    <x:row r="17">
      <x:c r="A17" s="8" t="str">
        <x:v>Tax expense</x:v>
      </x:c>
      <x:c r="B17" s="8"/>
      <x:c r="C17" s="36" t="n">
        <x:v>433.01</x:v>
      </x:c>
      <x:c r="D17" s="36" t="n">
        <x:v>405.2</x:v>
      </x:c>
      <x:c r="E17" s="36" t="n">
        <x:v>464</x:v>
      </x:c>
      <x:c r="F17" s="40" t="n">
        <x:f>F16*'Assumptions'!F17</x:f>
        <x:v>749.353668</x:v>
      </x:c>
      <x:c r="G17" s="40" t="n">
        <x:f>G16*'Assumptions'!G17</x:f>
        <x:v>934.6318971965499</x:v>
      </x:c>
      <x:c r="H17" s="40" t="n">
        <x:f>H16*'Assumptions'!H17</x:f>
        <x:v>1090.9019614328352</x:v>
      </x:c>
      <x:c r="I17" s="40" t="n">
        <x:f>I16*'Assumptions'!I17</x:f>
        <x:v>1264.776501083804</x:v>
      </x:c>
      <x:c r="J17" s="40" t="n">
        <x:f>J16*'Assumptions'!J17</x:f>
        <x:v>1442.7661984354374</x:v>
      </x:c>
    </x:row>
    <x:row r="18">
      <x:c r="A18" s="32" t="str">
        <x:v>Net income</x:v>
      </x:c>
      <x:c r="B18" s="32"/>
      <x:c r="C18" s="37" t="n">
        <x:v>1252.24</x:v>
      </x:c>
      <x:c r="D18" s="37" t="n">
        <x:v>1698.6</x:v>
      </x:c>
      <x:c r="E18" s="37" t="n">
        <x:v>1873</x:v>
      </x:c>
      <x:c r="F18" s="41" t="n">
        <x:f>F16-F17</x:f>
        <x:v>2309.2327320000004</x:v>
      </x:c>
      <x:c r="G18" s="41" t="n">
        <x:f>G16-G17</x:f>
        <x:v>2880.1921729934497</x:v>
      </x:c>
      <x:c r="H18" s="41" t="n">
        <x:f>H16-H17</x:f>
        <x:v>3361.7591056399615</x:v>
      </x:c>
      <x:c r="I18" s="41" t="n">
        <x:f>I16-I17</x:f>
        <x:v>3897.576564564376</x:v>
      </x:c>
      <x:c r="J18" s="41" t="n">
        <x:f>J16-J17</x:f>
        <x:v>4446.075427831654</x:v>
      </x:c>
    </x:row>
    <x:row r="19">
      <x:c r="A19" s="8" t="str">
        <x:v>ROE</x:v>
      </x:c>
      <x:c r="B19" s="8"/>
      <x:c r="C19" s="38" t="n">
        <x:v>0.146</x:v>
      </x:c>
      <x:c r="D19" s="38" t="n">
        <x:v>0.165</x:v>
      </x:c>
      <x:c r="E19" s="38" t="n">
        <x:v>0.136</x:v>
      </x:c>
      <x:c r="F19" s="42" t="n">
        <x:f>F18/AVERAGE(E36,F36)</x:f>
        <x:v>0.15461248303463557</x:v>
      </x:c>
      <x:c r="G19" s="42" t="n">
        <x:f>G18/AVERAGE(F36,G36)</x:f>
        <x:v>0.16429766964521972</x:v>
      </x:c>
      <x:c r="H19" s="42" t="n">
        <x:f>H18/AVERAGE(G36,H36)</x:f>
        <x:v>0.1627867679016295</x:v>
      </x:c>
      <x:c r="I19" s="42" t="n">
        <x:f>I18/AVERAGE(H36,I36)</x:f>
        <x:v>0.16051978963385918</x:v>
      </x:c>
      <x:c r="J19" s="42" t="n">
        <x:f>J18/AVERAGE(I36,J36)</x:f>
        <x:v>0.15626144685856</x:v>
      </x:c>
    </x:row>
    <x:row r="20">
      <x:c r="A20" s="8"/>
      <x:c r="B20" s="8"/>
      <x:c r="C20" s="12"/>
      <x:c r="D20" s="12"/>
      <x:c r="E20" s="12"/>
      <x:c r="F20" s="13"/>
      <x:c r="G20" s="13"/>
      <x:c r="H20" s="13"/>
      <x:c r="I20" s="13"/>
      <x:c r="J20" s="13"/>
    </x:row>
    <x:row r="21">
      <x:c r="A21" s="8"/>
      <x:c r="B21" s="8"/>
      <x:c r="C21" s="12"/>
      <x:c r="D21" s="12"/>
      <x:c r="E21" s="12"/>
      <x:c r="F21" s="13"/>
      <x:c r="G21" s="13"/>
      <x:c r="H21" s="13"/>
      <x:c r="I21" s="13"/>
      <x:c r="J21" s="13"/>
    </x:row>
    <x:row r="22">
      <x:c r="A22" s="16" t="str">
        <x:v>BALANCE SHEET</x:v>
      </x:c>
      <x:c r="B22" s="16"/>
      <x:c r="C22" s="39"/>
      <x:c r="D22" s="39"/>
      <x:c r="E22" s="39"/>
      <x:c r="F22" s="43"/>
      <x:c r="G22" s="43"/>
      <x:c r="H22" s="43"/>
      <x:c r="I22" s="43"/>
      <x:c r="J22" s="43"/>
    </x:row>
    <x:row r="23">
      <x:c r="A23" s="8" t="str">
        <x:v>Cash &amp; liquid assets (cash sweep)</x:v>
      </x:c>
      <x:c r="B23" s="8"/>
      <x:c r="C23" s="36" t="n">
        <x:v>735.89</x:v>
      </x:c>
      <x:c r="D23" s="36" t="n">
        <x:v>671.18</x:v>
      </x:c>
      <x:c r="E23" s="36" t="n">
        <x:v>718</x:v>
      </x:c>
      <x:c r="F23" s="40" t="n">
        <x:f>F37-F28-F29</x:f>
        <x:v>1157.7945920000057</x:v>
      </x:c>
      <x:c r="G23" s="40" t="n">
        <x:f>G37-G28-G29</x:f>
        <x:v>2065.793281193454</x:v>
      </x:c>
      <x:c r="H23" s="40" t="n">
        <x:f>H37-H28-H29</x:f>
        <x:v>3400.2694617373954</x:v>
      </x:c>
      <x:c r="I23" s="40" t="n">
        <x:f>I37-I28-I29</x:f>
        <x:v>4791.636189048588</x:v>
      </x:c>
      <x:c r="J23" s="40" t="n">
        <x:f>J37-J28-J29</x:f>
        <x:v>6892.130329426783</x:v>
      </x:c>
    </x:row>
    <x:row r="24">
      <x:c r="A24" s="8"/>
      <x:c r="B24" s="8"/>
      <x:c r="C24" s="12"/>
      <x:c r="D24" s="12"/>
      <x:c r="E24" s="12"/>
      <x:c r="F24" s="13"/>
      <x:c r="G24" s="13"/>
      <x:c r="H24" s="13"/>
      <x:c r="I24" s="13"/>
      <x:c r="J24" s="13"/>
    </x:row>
    <x:row r="25">
      <x:c r="A25" s="8"/>
      <x:c r="B25" s="8"/>
      <x:c r="C25" s="12"/>
      <x:c r="D25" s="12"/>
      <x:c r="E25" s="12"/>
      <x:c r="F25" s="13"/>
      <x:c r="G25" s="13"/>
      <x:c r="H25" s="13"/>
      <x:c r="I25" s="13"/>
      <x:c r="J25" s="13"/>
    </x:row>
    <x:row r="26">
      <x:c r="A26" s="8"/>
      <x:c r="B26" s="8"/>
      <x:c r="C26" s="12"/>
      <x:c r="D26" s="12"/>
      <x:c r="E26" s="12"/>
      <x:c r="F26" s="13"/>
      <x:c r="G26" s="13"/>
      <x:c r="H26" s="13"/>
      <x:c r="I26" s="13"/>
      <x:c r="J26" s="13"/>
    </x:row>
    <x:row r="27">
      <x:c r="A27" s="8"/>
      <x:c r="B27" s="8"/>
      <x:c r="C27" s="12"/>
      <x:c r="D27" s="12"/>
      <x:c r="E27" s="12"/>
      <x:c r="F27" s="13"/>
      <x:c r="G27" s="13"/>
      <x:c r="H27" s="13"/>
      <x:c r="I27" s="13"/>
      <x:c r="J27" s="13"/>
    </x:row>
    <x:row r="28">
      <x:c r="A28" s="32" t="str">
        <x:v>Net loan assets</x:v>
      </x:c>
      <x:c r="B28" s="32"/>
      <x:c r="C28" s="37" t="n">
        <x:v>58775.09</x:v>
      </x:c>
      <x:c r="D28" s="37" t="n">
        <x:v>75319.98</x:v>
      </x:c>
      <x:c r="E28" s="37" t="n">
        <x:v>90197</x:v>
      </x:c>
      <x:c r="F28" s="41" t="n">
        <x:f>E28*(1+'Assumptions'!F11)</x:f>
        <x:v>106432.45999999999</x:v>
      </x:c>
      <x:c r="G28" s="41" t="n">
        <x:f>F28*(1+'Assumptions'!G11)</x:f>
        <x:v>124525.97819999998</x:v>
      </x:c>
      <x:c r="H28" s="41" t="n">
        <x:f>G28*(1+'Assumptions'!H11)</x:f>
        <x:v>144450.13471199997</x:v>
      </x:c>
      <x:c r="I28" s="41" t="n">
        <x:f>H28*(1+'Assumptions'!I11)</x:f>
        <x:v>166117.65491879996</x:v>
      </x:c>
      <x:c r="J28" s="41" t="n">
        <x:f>I28*(1+'Assumptions'!J11)</x:f>
        <x:v>189374.12660743197</x:v>
      </x:c>
    </x:row>
    <x:row r="29">
      <x:c r="A29" s="8" t="str">
        <x:v>Other assets</x:v>
      </x:c>
      <x:c r="B29" s="8"/>
      <x:c r="C29" s="36" t="n">
        <x:v>3089.47</x:v>
      </x:c>
      <x:c r="D29" s="36" t="n">
        <x:v>3743.19</x:v>
      </x:c>
      <x:c r="E29" s="36" t="n">
        <x:v>2887</x:v>
      </x:c>
      <x:c r="F29" s="40" t="n">
        <x:f>F28*'Assumptions'!F20</x:f>
        <x:v>3405.8387199999997</x:v>
      </x:c>
      <x:c r="G29" s="40" t="n">
        <x:f>G28*'Assumptions'!G20</x:f>
        <x:v>3984.8313023999995</x:v>
      </x:c>
      <x:c r="H29" s="40" t="n">
        <x:f>H28*'Assumptions'!H20</x:f>
        <x:v>4477.954176071999</x:v>
      </x:c>
      <x:c r="I29" s="40" t="n">
        <x:f>I28*'Assumptions'!I20</x:f>
        <x:v>5149.647302482799</x:v>
      </x:c>
      <x:c r="J29" s="40" t="n">
        <x:f>J28*'Assumptions'!J20</x:f>
        <x:v>5681.223798222959</x:v>
      </x:c>
    </x:row>
    <x:row r="30">
      <x:c r="A30" s="8"/>
      <x:c r="B30" s="8"/>
      <x:c r="C30" s="12"/>
      <x:c r="D30" s="12"/>
      <x:c r="E30" s="12"/>
      <x:c r="F30" s="13"/>
      <x:c r="G30" s="13"/>
      <x:c r="H30" s="13"/>
      <x:c r="I30" s="13"/>
      <x:c r="J30" s="13"/>
    </x:row>
    <x:row r="31">
      <x:c r="A31" s="32" t="str">
        <x:v>Total assets</x:v>
      </x:c>
      <x:c r="B31" s="32"/>
      <x:c r="C31" s="37" t="n">
        <x:v>62600.45</x:v>
      </x:c>
      <x:c r="D31" s="37" t="n">
        <x:v>79734.35</x:v>
      </x:c>
      <x:c r="E31" s="37" t="n">
        <x:v>93802</x:v>
      </x:c>
      <x:c r="F31" s="41" t="n">
        <x:f>F23+F28+F29</x:f>
        <x:v>110996.093312</x:v>
      </x:c>
      <x:c r="G31" s="41" t="n">
        <x:f>G23+G28+G29</x:f>
        <x:v>130576.60278359344</x:v>
      </x:c>
      <x:c r="H31" s="41" t="n">
        <x:f>H23+H28+H29</x:f>
        <x:v>152328.35834980936</x:v>
      </x:c>
      <x:c r="I31" s="41" t="n">
        <x:f>I23+I28+I29</x:f>
        <x:v>176058.93841033135</x:v>
      </x:c>
      <x:c r="J31" s="41" t="n">
        <x:f>J23+J28+J29</x:f>
        <x:v>201947.4807350817</x:v>
      </x:c>
    </x:row>
    <x:row r="32">
      <x:c r="A32" s="8"/>
      <x:c r="B32" s="8"/>
      <x:c r="C32" s="12"/>
      <x:c r="D32" s="12"/>
      <x:c r="E32" s="12"/>
      <x:c r="F32" s="13"/>
      <x:c r="G32" s="13"/>
      <x:c r="H32" s="13"/>
      <x:c r="I32" s="13"/>
      <x:c r="J32" s="13"/>
    </x:row>
    <x:row r="33">
      <x:c r="A33" s="8" t="str">
        <x:v>Borrowings</x:v>
      </x:c>
      <x:c r="B33" s="8"/>
      <x:c r="C33" s="36" t="n">
        <x:v>49686.88</x:v>
      </x:c>
      <x:c r="D33" s="36" t="n">
        <x:v>64740.31</x:v>
      </x:c>
      <x:c r="E33" s="36" t="n">
        <x:v>77846</x:v>
      </x:c>
      <x:c r="F33" s="40" t="n">
        <x:f>E33+(F28-E28)*'Assumptions'!F18</x:f>
        <x:v>92457.91399999999</x:v>
      </x:c>
      <x:c r="G33" s="40" t="n">
        <x:f>F33+(G28-F28)*'Assumptions'!G18</x:f>
        <x:v>108742.08037999998</x:v>
      </x:c>
      <x:c r="H33" s="40" t="n">
        <x:f>G33+(H28-G28)*'Assumptions'!H18</x:f>
        <x:v>126673.82124079997</x:v>
      </x:c>
      <x:c r="I33" s="40" t="n">
        <x:f>H33+(I28-H28)*'Assumptions'!I18</x:f>
        <x:v>146174.58942691996</x:v>
      </x:c>
      <x:c r="J33" s="40" t="n">
        <x:f>I33+(J28-I28)*'Assumptions'!J18</x:f>
        <x:v>167105.41394668876</x:v>
      </x:c>
    </x:row>
    <x:row r="34">
      <x:c r="A34" s="8" t="str">
        <x:v>Other liabilities</x:v>
      </x:c>
      <x:c r="B34" s="8"/>
      <x:c r="C34" s="36" t="n">
        <x:v>4354.15</x:v>
      </x:c>
      <x:c r="D34" s="36" t="n">
        <x:v>4727.88</x:v>
      </x:c>
      <x:c r="E34" s="36" t="n">
        <x:v>2175</x:v>
      </x:c>
      <x:c r="F34" s="40" t="n">
        <x:f>F28*'Assumptions'!F21</x:f>
        <x:v>2447.94658</x:v>
      </x:c>
      <x:c r="G34" s="40" t="n">
        <x:f>G28*'Assumptions'!G21</x:f>
        <x:v>2864.0974985999997</x:v>
      </x:c>
      <x:c r="H34" s="40" t="n">
        <x:f>H28*'Assumptions'!H21</x:f>
        <x:v>3322.3530983759993</x:v>
      </x:c>
      <x:c r="I34" s="40" t="n">
        <x:f>I28*'Assumptions'!I21</x:f>
        <x:v>3654.588408213599</x:v>
      </x:c>
      <x:c r="J34" s="40" t="n">
        <x:f>J28*'Assumptions'!J21</x:f>
        <x:v>4166.230785363503</x:v>
      </x:c>
    </x:row>
    <x:row r="35">
      <x:c r="A35" s="8"/>
      <x:c r="B35" s="8"/>
      <x:c r="C35" s="12"/>
      <x:c r="D35" s="12"/>
      <x:c r="E35" s="12"/>
      <x:c r="F35" s="13"/>
      <x:c r="G35" s="13"/>
      <x:c r="H35" s="13"/>
      <x:c r="I35" s="13"/>
      <x:c r="J35" s="13"/>
    </x:row>
    <x:row r="36">
      <x:c r="A36" s="8" t="str">
        <x:v>Equity</x:v>
      </x:c>
      <x:c r="B36" s="8"/>
      <x:c r="C36" s="36" t="n">
        <x:v>8559.42</x:v>
      </x:c>
      <x:c r="D36" s="36" t="n">
        <x:v>10266.16</x:v>
      </x:c>
      <x:c r="E36" s="36" t="n">
        <x:v>13781</x:v>
      </x:c>
      <x:c r="F36" s="40" t="n">
        <x:f>E36+F18-F46+F47</x:f>
        <x:v>16090.232732</x:v>
      </x:c>
      <x:c r="G36" s="40" t="n">
        <x:f>F36+G18-G46+G47</x:f>
        <x:v>18970.42490499345</x:v>
      </x:c>
      <x:c r="H36" s="40" t="n">
        <x:f>G36+H18-H46+H47</x:f>
        <x:v>22332.184010633413</x:v>
      </x:c>
      <x:c r="I36" s="40" t="n">
        <x:f>H36+I18-I46+I47</x:f>
        <x:v>26229.76057519779</x:v>
      </x:c>
      <x:c r="J36" s="40" t="n">
        <x:f>I36+J18-J46+J47</x:f>
        <x:v>30675.836003029443</x:v>
      </x:c>
    </x:row>
    <x:row r="37">
      <x:c r="A37" s="32" t="str">
        <x:v>Total liabilities &amp; equity</x:v>
      </x:c>
      <x:c r="B37" s="32"/>
      <x:c r="C37" s="37" t="n">
        <x:v>62600.45</x:v>
      </x:c>
      <x:c r="D37" s="37" t="n">
        <x:v>79734.35</x:v>
      </x:c>
      <x:c r="E37" s="37" t="n">
        <x:v>93802</x:v>
      </x:c>
      <x:c r="F37" s="41" t="n">
        <x:f>SUM(F33:F34)+F36</x:f>
        <x:v>110996.093312</x:v>
      </x:c>
      <x:c r="G37" s="41" t="n">
        <x:f>SUM(G33:G34)+G36</x:f>
        <x:v>130576.60278359344</x:v>
      </x:c>
      <x:c r="H37" s="41" t="n">
        <x:f>SUM(H33:H34)+H36</x:f>
        <x:v>152328.35834980936</x:v>
      </x:c>
      <x:c r="I37" s="41" t="n">
        <x:f>SUM(I33:I34)+I36</x:f>
        <x:v>176058.93841033135</x:v>
      </x:c>
      <x:c r="J37" s="41" t="n">
        <x:f>SUM(J33:J34)+J36</x:f>
        <x:v>201947.4807350817</x:v>
      </x:c>
    </x:row>
    <x:row r="38">
      <x:c r="A38" s="8" t="str">
        <x:v>Balance check</x:v>
      </x:c>
      <x:c r="B38" s="8"/>
      <x:c r="C38" s="36" t="n">
        <x:v>0</x:v>
      </x:c>
      <x:c r="D38" s="36" t="n">
        <x:v>0</x:v>
      </x:c>
      <x:c r="E38" s="36" t="n">
        <x:v>0</x:v>
      </x:c>
      <x:c r="F38" s="40" t="n">
        <x:f>F31-F37</x:f>
        <x:v>0</x:v>
      </x:c>
      <x:c r="G38" s="40" t="n">
        <x:f>G31-G37</x:f>
        <x:v>0</x:v>
      </x:c>
      <x:c r="H38" s="40" t="n">
        <x:f>H31-H37</x:f>
        <x:v>0</x:v>
      </x:c>
      <x:c r="I38" s="40" t="n">
        <x:f>I31-I37</x:f>
        <x:v>0</x:v>
      </x:c>
      <x:c r="J38" s="40" t="n">
        <x:f>J31-J37</x:f>
        <x:v>0</x:v>
      </x:c>
    </x:row>
    <x:row r="39">
      <x:c r="A39" s="8"/>
      <x:c r="B39" s="8"/>
      <x:c r="C39" s="12"/>
      <x:c r="D39" s="12"/>
      <x:c r="E39" s="12"/>
      <x:c r="F39" s="13"/>
      <x:c r="G39" s="13"/>
      <x:c r="H39" s="13"/>
      <x:c r="I39" s="13"/>
      <x:c r="J39" s="13"/>
    </x:row>
    <x:row r="40">
      <x:c r="A40" s="8"/>
      <x:c r="B40" s="8"/>
      <x:c r="C40" s="12"/>
      <x:c r="D40" s="12"/>
      <x:c r="E40" s="12"/>
      <x:c r="F40" s="13"/>
      <x:c r="G40" s="13"/>
      <x:c r="H40" s="13"/>
      <x:c r="I40" s="13"/>
      <x:c r="J40" s="13"/>
    </x:row>
    <x:row r="41">
      <x:c r="A41" s="16" t="str">
        <x:v>CASH FLOW STATEMENT (LENDER FORMAT)</x:v>
      </x:c>
      <x:c r="B41" s="16"/>
      <x:c r="C41" s="39"/>
      <x:c r="D41" s="39"/>
      <x:c r="E41" s="39"/>
      <x:c r="F41" s="43"/>
      <x:c r="G41" s="43"/>
      <x:c r="H41" s="43"/>
      <x:c r="I41" s="43"/>
      <x:c r="J41" s="43"/>
    </x:row>
    <x:row r="42">
      <x:c r="A42" s="8" t="str">
        <x:v>Net income</x:v>
      </x:c>
      <x:c r="B42" s="8"/>
      <x:c r="C42" s="36" t="n">
        <x:v>1252.24</x:v>
      </x:c>
      <x:c r="D42" s="36" t="n">
        <x:v>1698.6</x:v>
      </x:c>
      <x:c r="E42" s="36" t="n">
        <x:v>1873</x:v>
      </x:c>
      <x:c r="F42" s="40" t="n">
        <x:f>F18</x:f>
        <x:v>2309.2327320000004</x:v>
      </x:c>
      <x:c r="G42" s="40" t="n">
        <x:f>G18</x:f>
        <x:v>2880.1921729934497</x:v>
      </x:c>
      <x:c r="H42" s="40" t="n">
        <x:f>H18</x:f>
        <x:v>3361.7591056399615</x:v>
      </x:c>
      <x:c r="I42" s="40" t="n">
        <x:f>I18</x:f>
        <x:v>3897.576564564376</x:v>
      </x:c>
      <x:c r="J42" s="40" t="n">
        <x:f>J18</x:f>
        <x:v>4446.075427831654</x:v>
      </x:c>
    </x:row>
    <x:row r="43">
      <x:c r="A43" s="8" t="str">
        <x:v>Increase in loan assets</x:v>
      </x:c>
      <x:c r="B43" s="8"/>
      <x:c r="C43" s="36" t="n">
        <x:v>-12644.48</x:v>
      </x:c>
      <x:c r="D43" s="36" t="n">
        <x:v>-16544.89</x:v>
      </x:c>
      <x:c r="E43" s="36" t="n">
        <x:v>-14877.02</x:v>
      </x:c>
      <x:c r="F43" s="40" t="n">
        <x:f>-(F28-E28)</x:f>
        <x:v>-16235.459999999992</x:v>
      </x:c>
      <x:c r="G43" s="40" t="n">
        <x:f>-(G28-F28)</x:f>
        <x:v>-18093.51819999999</x:v>
      </x:c>
      <x:c r="H43" s="40" t="n">
        <x:f>-(H28-G28)</x:f>
        <x:v>-19924.156511999987</x:v>
      </x:c>
      <x:c r="I43" s="40" t="n">
        <x:f>-(I28-H28)</x:f>
        <x:v>-21667.520206799993</x:v>
      </x:c>
      <x:c r="J43" s="40" t="n">
        <x:f>-(J28-I28)</x:f>
        <x:v>-23256.47168863201</x:v>
      </x:c>
    </x:row>
    <x:row r="44">
      <x:c r="A44" s="8" t="str">
        <x:v>Change in other assets</x:v>
      </x:c>
      <x:c r="B44" s="8"/>
      <x:c r="C44" s="36" t="n">
        <x:v>0</x:v>
      </x:c>
      <x:c r="D44" s="36" t="n">
        <x:v>-653.72</x:v>
      </x:c>
      <x:c r="E44" s="36" t="n">
        <x:v>856.19</x:v>
      </x:c>
      <x:c r="F44" s="40" t="n">
        <x:f>-(F29-E29)</x:f>
        <x:v>-518.8387199999997</x:v>
      </x:c>
      <x:c r="G44" s="40" t="n">
        <x:f>-(G29-F29)</x:f>
        <x:v>-578.9925823999997</x:v>
      </x:c>
      <x:c r="H44" s="40" t="n">
        <x:f>-(H29-G29)</x:f>
        <x:v>-493.12287367199997</x:v>
      </x:c>
      <x:c r="I44" s="40" t="n">
        <x:f>-(I29-H29)</x:f>
        <x:v>-671.6931264107998</x:v>
      </x:c>
      <x:c r="J44" s="40" t="n">
        <x:f>-(J29-I29)</x:f>
        <x:v>-531.5764957401598</x:v>
      </x:c>
    </x:row>
    <x:row r="45">
      <x:c r="A45" s="8" t="str">
        <x:v>Net new borrowings</x:v>
      </x:c>
      <x:c r="B45" s="8"/>
      <x:c r="C45" s="36" t="n">
        <x:v>9799.88</x:v>
      </x:c>
      <x:c r="D45" s="36" t="n">
        <x:v>15053.43</x:v>
      </x:c>
      <x:c r="E45" s="36" t="n">
        <x:v>13105.69</x:v>
      </x:c>
      <x:c r="F45" s="40" t="n">
        <x:f>F33-E33</x:f>
        <x:v>14611.91399999999</x:v>
      </x:c>
      <x:c r="G45" s="40" t="n">
        <x:f>G33-F33</x:f>
        <x:v>16284.166379999995</x:v>
      </x:c>
      <x:c r="H45" s="40" t="n">
        <x:f>H33-G33</x:f>
        <x:v>17931.740860799982</x:v>
      </x:c>
      <x:c r="I45" s="40" t="n">
        <x:f>I33-H33</x:f>
        <x:v>19500.768186119996</x:v>
      </x:c>
      <x:c r="J45" s="40" t="n">
        <x:f>J33-I33</x:f>
        <x:v>20930.824519768794</x:v>
      </x:c>
    </x:row>
    <x:row r="46">
      <x:c r="A46" s="8" t="str">
        <x:v>Dividends paid</x:v>
      </x:c>
      <x:c r="B46" s="8"/>
      <x:c r="C46" s="36" t="n">
        <x:v>0</x:v>
      </x:c>
      <x:c r="D46" s="36" t="n">
        <x:v>238.1</x:v>
      </x:c>
      <x:c r="E46" s="36" t="n">
        <x:v>245.49</x:v>
      </x:c>
      <x:c r="F46" s="40">
        <x:f>F18*'Assumptions'!F19</x:f>
      </x:c>
      <x:c r="G46" s="40">
        <x:f>G18*'Assumptions'!G19</x:f>
      </x:c>
      <x:c r="H46" s="40">
        <x:f>H18*'Assumptions'!H19</x:f>
      </x:c>
      <x:c r="I46" s="40">
        <x:f>I18*'Assumptions'!I19</x:f>
      </x:c>
      <x:c r="J46" s="40">
        <x:f>J18*'Assumptions'!J19</x:f>
      </x:c>
    </x:row>
    <x:row r="47">
      <x:c r="A47" s="8" t="str">
        <x:v>Equity issuance / other equity</x:v>
      </x:c>
      <x:c r="B47" s="8"/>
      <x:c r="C47" s="36" t="n">
        <x:v>1258.94</x:v>
      </x:c>
      <x:c r="D47" s="36" t="n">
        <x:v>246.24</x:v>
      </x:c>
      <x:c r="E47" s="36" t="n">
        <x:v>2087.49</x:v>
      </x:c>
      <x:c r="F47" s="40" t="n">
        <x:f>0</x:f>
        <x:v>0</x:v>
      </x:c>
      <x:c r="G47" s="40" t="n">
        <x:f>0</x:f>
        <x:v>0</x:v>
      </x:c>
      <x:c r="H47" s="40" t="n">
        <x:f>0</x:f>
        <x:v>0</x:v>
      </x:c>
      <x:c r="I47" s="40" t="n">
        <x:f>0</x:f>
        <x:v>0</x:v>
      </x:c>
      <x:c r="J47" s="40" t="n">
        <x:f>0</x:f>
        <x:v>0</x:v>
      </x:c>
    </x:row>
    <x:row r="48">
      <x:c r="A48" s="8" t="str">
        <x:v>Change in other liabilities</x:v>
      </x:c>
      <x:c r="B48" s="8"/>
      <x:c r="C48" s="36" t="n">
        <x:v>0</x:v>
      </x:c>
      <x:c r="D48" s="36" t="n">
        <x:v>373.73</x:v>
      </x:c>
      <x:c r="E48" s="36" t="n">
        <x:v>-2552.88</x:v>
      </x:c>
      <x:c r="F48" s="40" t="n">
        <x:f>F34-E34</x:f>
        <x:v>272.9465799999998</x:v>
      </x:c>
      <x:c r="G48" s="40" t="n">
        <x:f>G34-F34</x:f>
        <x:v>416.15091859999984</x:v>
      </x:c>
      <x:c r="H48" s="40" t="n">
        <x:f>H34-G34</x:f>
        <x:v>458.2555997759996</x:v>
      </x:c>
      <x:c r="I48" s="40" t="n">
        <x:f>I34-H34</x:f>
        <x:v>332.23530983759974</x:v>
      </x:c>
      <x:c r="J48" s="40" t="n">
        <x:f>J34-I34</x:f>
        <x:v>511.64237714990395</x:v>
      </x:c>
    </x:row>
    <x:row r="49">
      <x:c r="A49" s="32" t="str">
        <x:v>Net change in cash</x:v>
      </x:c>
      <x:c r="B49" s="32"/>
      <x:c r="C49" s="37"/>
      <x:c r="D49" s="37" t="n">
        <x:v>-64.71</x:v>
      </x:c>
      <x:c r="E49" s="37" t="n">
        <x:v>46.82</x:v>
      </x:c>
      <x:c r="F49" s="41" t="n">
        <x:f>F23-E23</x:f>
        <x:v>439.79459200000565</x:v>
      </x:c>
      <x:c r="G49" s="41" t="n">
        <x:f>G23-F23</x:f>
        <x:v>907.9986891934482</x:v>
      </x:c>
      <x:c r="H49" s="41" t="n">
        <x:f>H23-G23</x:f>
        <x:v>1334.4761805439416</x:v>
      </x:c>
      <x:c r="I49" s="41" t="n">
        <x:f>I23-H23</x:f>
        <x:v>1391.3667273111923</x:v>
      </x:c>
      <x:c r="J49" s="41" t="n">
        <x:f>J23-I23</x:f>
        <x:v>2100.494140378195</x:v>
      </x:c>
    </x:row>
    <x:row r="50">
      <x:c r="A50" s="32" t="str">
        <x:v>Ending cash &amp; liquid assets</x:v>
      </x:c>
      <x:c r="B50" s="32"/>
      <x:c r="C50" s="37" t="n">
        <x:v>735.89</x:v>
      </x:c>
      <x:c r="D50" s="37" t="n">
        <x:v>671.18</x:v>
      </x:c>
      <x:c r="E50" s="37" t="n">
        <x:v>718</x:v>
      </x:c>
      <x:c r="F50" s="41" t="n">
        <x:f>F23</x:f>
        <x:v>1157.7945920000057</x:v>
      </x:c>
      <x:c r="G50" s="41" t="n">
        <x:f>G23</x:f>
        <x:v>2065.793281193454</x:v>
      </x:c>
      <x:c r="H50" s="41" t="n">
        <x:f>H23</x:f>
        <x:v>3400.2694617373954</x:v>
      </x:c>
      <x:c r="I50" s="41" t="n">
        <x:f>I23</x:f>
        <x:v>4791.636189048588</x:v>
      </x:c>
      <x:c r="J50" s="41" t="n">
        <x:f>J23</x:f>
        <x:v>6892.130329426783</x:v>
      </x:c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</x:row>
  </x:sheetData>
  <x:mergeCells>
    <x:mergeCell ref="A1:J2"/>
    <x:mergeCell ref="A3:J3"/>
    <x:mergeCell ref="A8:J8"/>
    <x:mergeCell ref="A9:B9"/>
    <x:mergeCell ref="A10:B10"/>
    <x:mergeCell ref="A11:B11"/>
    <x:mergeCell ref="A12:B12"/>
    <x:mergeCell ref="A13:B13"/>
    <x:mergeCell ref="A14:B14"/>
    <x:mergeCell ref="A15:B15"/>
    <x:mergeCell ref="A16:B16"/>
    <x:mergeCell ref="A17:B17"/>
    <x:mergeCell ref="A18:B18"/>
    <x:mergeCell ref="A19:B19"/>
    <x:mergeCell ref="A22:J22"/>
    <x:mergeCell ref="A23:B23"/>
    <x:mergeCell ref="A28:B28"/>
    <x:mergeCell ref="A29:B29"/>
    <x:mergeCell ref="A31:B31"/>
    <x:mergeCell ref="A33:B33"/>
    <x:mergeCell ref="A34:B34"/>
    <x:mergeCell ref="A36:B36"/>
    <x:mergeCell ref="A37:B37"/>
    <x:mergeCell ref="A38:B38"/>
    <x:mergeCell ref="A41:J41"/>
    <x:mergeCell ref="A42:B42"/>
    <x:mergeCell ref="A43:B43"/>
    <x:mergeCell ref="A44:B44"/>
    <x:mergeCell ref="A45:B45"/>
    <x:mergeCell ref="A46:B46"/>
    <x:mergeCell ref="A47:B47"/>
    <x:mergeCell ref="A48:B48"/>
    <x:mergeCell ref="A49:B49"/>
    <x:mergeCell ref="A50:B5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3" hidden="0" customWidth="1"/>
    <x:col min="9" max="9" width="13" hidden="0" customWidth="1"/>
    <x:col min="10" max="10" width="13" hidden="0" customWidth="1"/>
  </x:cols>
  <x:sheetData>
    <x:row r="1">
      <x:c r="A1" s="6" t="str">
        <x:v>IREDA | FCFE DCF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>
      <x:c r="A2" s="6"/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7" t="str">
        <x:v>Portfolio model | INR crore unless stated | Valuation date: 10-Jul-2026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4">
      <x:c r="A4" s="8"/>
      <x:c r="B4" s="8"/>
      <x:c r="C4" s="8"/>
      <x:c r="D4" s="8"/>
      <x:c r="E4" s="8"/>
      <x:c r="F4" s="8"/>
      <x:c r="G4" s="8"/>
      <x:c r="H4" s="8"/>
      <x:c r="I4" s="8"/>
      <x:c r="J4" s="8"/>
    </x:row>
    <x:row r="5">
      <x:c r="A5" s="8"/>
      <x:c r="B5" s="8"/>
      <x:c r="C5" s="8"/>
      <x:c r="D5" s="8"/>
      <x:c r="E5" s="8"/>
      <x:c r="F5" s="8"/>
      <x:c r="G5" s="8"/>
      <x:c r="H5" s="8"/>
      <x:c r="I5" s="8"/>
      <x:c r="J5" s="8"/>
    </x:row>
    <x:row r="6">
      <x:c r="A6" s="8"/>
      <x:c r="B6" s="8"/>
      <x:c r="C6" s="21" t="str"/>
      <x:c r="D6" s="21" t="str"/>
      <x:c r="E6" s="21" t="str"/>
      <x:c r="F6" s="23" t="str">
        <x:v>FY27E</x:v>
      </x:c>
      <x:c r="G6" s="23" t="str">
        <x:v>FY28E</x:v>
      </x:c>
      <x:c r="H6" s="23" t="str">
        <x:v>FY29E</x:v>
      </x:c>
      <x:c r="I6" s="23" t="str">
        <x:v>FY30E</x:v>
      </x:c>
      <x:c r="J6" s="23" t="str">
        <x:v>FY31E</x:v>
      </x:c>
    </x:row>
    <x:row r="7">
      <x:c r="A7" s="8"/>
      <x:c r="B7" s="8"/>
      <x:c r="C7" s="8"/>
      <x:c r="D7" s="8"/>
      <x:c r="E7" s="8"/>
      <x:c r="F7" s="8"/>
      <x:c r="G7" s="8"/>
      <x:c r="H7" s="8"/>
      <x:c r="I7" s="8"/>
      <x:c r="J7" s="8"/>
    </x:row>
    <x:row r="8">
      <x:c r="A8" s="16" t="str">
        <x:v>FREE CASH FLOW TO EQUITY</x:v>
      </x:c>
      <x:c r="B8" s="16"/>
      <x:c r="C8" s="16"/>
      <x:c r="D8" s="16"/>
      <x:c r="E8" s="16"/>
      <x:c r="F8" s="16"/>
      <x:c r="G8" s="16"/>
      <x:c r="H8" s="16"/>
      <x:c r="I8" s="16"/>
      <x:c r="J8" s="16"/>
    </x:row>
    <x:row r="9">
      <x:c r="A9" s="8" t="str">
        <x:v>Net income</x:v>
      </x:c>
      <x:c r="B9" s="8"/>
      <x:c r="C9" s="8"/>
      <x:c r="D9" s="8"/>
      <x:c r="E9" s="8"/>
      <x:c r="F9" s="27" t="n">
        <x:f>'3 Statement Model'!F18</x:f>
        <x:v>2309.2327320000004</x:v>
      </x:c>
      <x:c r="G9" s="27" t="n">
        <x:f>'3 Statement Model'!G18</x:f>
        <x:v>2880.1921729934497</x:v>
      </x:c>
      <x:c r="H9" s="27" t="n">
        <x:f>'3 Statement Model'!H18</x:f>
        <x:v>3361.7591056399615</x:v>
      </x:c>
      <x:c r="I9" s="27" t="n">
        <x:f>'3 Statement Model'!I18</x:f>
        <x:v>3897.576564564376</x:v>
      </x:c>
      <x:c r="J9" s="27" t="n">
        <x:f>'3 Statement Model'!J18</x:f>
        <x:v>4446.075427831654</x:v>
      </x:c>
    </x:row>
    <x:row r="10">
      <x:c r="A10" s="8" t="str">
        <x:v>Increase in loan assets</x:v>
      </x:c>
      <x:c r="B10" s="8"/>
      <x:c r="C10" s="8"/>
      <x:c r="D10" s="8"/>
      <x:c r="E10" s="8"/>
      <x:c r="F10" s="27" t="n">
        <x:f>-('3 Statement Model'!F28-'3 Statement Model'!E28)</x:f>
        <x:v>-16235.459999999992</x:v>
      </x:c>
      <x:c r="G10" s="27" t="n">
        <x:f>-('3 Statement Model'!G28-'3 Statement Model'!F28)</x:f>
        <x:v>-18093.51819999999</x:v>
      </x:c>
      <x:c r="H10" s="27" t="n">
        <x:f>-('3 Statement Model'!H28-'3 Statement Model'!G28)</x:f>
        <x:v>-19924.156511999987</x:v>
      </x:c>
      <x:c r="I10" s="27" t="n">
        <x:f>-('3 Statement Model'!I28-'3 Statement Model'!H28)</x:f>
        <x:v>-21667.520206799993</x:v>
      </x:c>
      <x:c r="J10" s="27" t="n">
        <x:f>-('3 Statement Model'!J28-'3 Statement Model'!I28)</x:f>
        <x:v>-23256.47168863201</x:v>
      </x:c>
    </x:row>
    <x:row r="11">
      <x:c r="A11" s="8" t="str">
        <x:v>Increase in other assets</x:v>
      </x:c>
      <x:c r="B11" s="8"/>
      <x:c r="C11" s="8"/>
      <x:c r="D11" s="8"/>
      <x:c r="E11" s="8"/>
      <x:c r="F11" s="27" t="n">
        <x:f>-('3 Statement Model'!F29-'3 Statement Model'!E29)</x:f>
        <x:v>-518.8387199999997</x:v>
      </x:c>
      <x:c r="G11" s="27" t="n">
        <x:f>-('3 Statement Model'!G29-'3 Statement Model'!F29)</x:f>
        <x:v>-578.9925823999997</x:v>
      </x:c>
      <x:c r="H11" s="27" t="n">
        <x:f>-('3 Statement Model'!H29-'3 Statement Model'!G29)</x:f>
        <x:v>-493.12287367199997</x:v>
      </x:c>
      <x:c r="I11" s="27" t="n">
        <x:f>-('3 Statement Model'!I29-'3 Statement Model'!H29)</x:f>
        <x:v>-671.6931264107998</x:v>
      </x:c>
      <x:c r="J11" s="27" t="n">
        <x:f>-('3 Statement Model'!J29-'3 Statement Model'!I29)</x:f>
        <x:v>-531.5764957401598</x:v>
      </x:c>
    </x:row>
    <x:row r="12">
      <x:c r="A12" s="8" t="str">
        <x:v>Increase in borrowings</x:v>
      </x:c>
      <x:c r="B12" s="8"/>
      <x:c r="C12" s="8"/>
      <x:c r="D12" s="8"/>
      <x:c r="E12" s="8"/>
      <x:c r="F12" s="27" t="n">
        <x:f>'3 Statement Model'!F45</x:f>
        <x:v>14611.91399999999</x:v>
      </x:c>
      <x:c r="G12" s="27" t="n">
        <x:f>'3 Statement Model'!G45</x:f>
        <x:v>16284.166379999995</x:v>
      </x:c>
      <x:c r="H12" s="27" t="n">
        <x:f>'3 Statement Model'!H45</x:f>
        <x:v>17931.740860799982</x:v>
      </x:c>
      <x:c r="I12" s="27" t="n">
        <x:f>'3 Statement Model'!I45</x:f>
        <x:v>19500.768186119996</x:v>
      </x:c>
      <x:c r="J12" s="27" t="n">
        <x:f>'3 Statement Model'!J45</x:f>
        <x:v>20930.824519768794</x:v>
      </x:c>
    </x:row>
    <x:row r="13">
      <x:c r="A13" s="8" t="str">
        <x:v>Increase in other liabilities</x:v>
      </x:c>
      <x:c r="B13" s="8"/>
      <x:c r="C13" s="8"/>
      <x:c r="D13" s="8"/>
      <x:c r="E13" s="8"/>
      <x:c r="F13" s="27" t="n">
        <x:f>'3 Statement Model'!F48</x:f>
        <x:v>272.9465799999998</x:v>
      </x:c>
      <x:c r="G13" s="27" t="n">
        <x:f>'3 Statement Model'!G48</x:f>
        <x:v>416.15091859999984</x:v>
      </x:c>
      <x:c r="H13" s="27" t="n">
        <x:f>'3 Statement Model'!H48</x:f>
        <x:v>458.2555997759996</x:v>
      </x:c>
      <x:c r="I13" s="27" t="n">
        <x:f>'3 Statement Model'!I48</x:f>
        <x:v>332.23530983759974</x:v>
      </x:c>
      <x:c r="J13" s="27" t="n">
        <x:f>'3 Statement Model'!J48</x:f>
        <x:v>511.64237714990395</x:v>
      </x:c>
    </x:row>
    <x:row r="14">
      <x:c r="A14" s="32" t="str">
        <x:v>FCFE</x:v>
      </x:c>
      <x:c r="B14" s="32"/>
      <x:c r="C14" s="32"/>
      <x:c r="D14" s="32"/>
      <x:c r="E14" s="32"/>
      <x:c r="F14" s="33" t="n">
        <x:f>SUM(F9:F13)</x:f>
        <x:v>439.7945919999984</x:v>
      </x:c>
      <x:c r="G14" s="33" t="n">
        <x:f>SUM(G9:G13)</x:f>
        <x:v>907.9986891934527</x:v>
      </x:c>
      <x:c r="H14" s="33" t="n">
        <x:f>SUM(H9:H13)</x:f>
        <x:v>1334.4761805439562</x:v>
      </x:c>
      <x:c r="I14" s="33" t="n">
        <x:f>SUM(I9:I13)</x:f>
        <x:v>1391.3667273111814</x:v>
      </x:c>
      <x:c r="J14" s="33" t="n">
        <x:f>SUM(J9:J13)</x:f>
        <x:v>2100.4941403781822</x:v>
      </x:c>
    </x:row>
    <x:row r="15">
      <x:c r="A15" s="8" t="str">
        <x:v>Discount factor</x:v>
      </x:c>
      <x:c r="B15" s="8"/>
      <x:c r="C15" s="8"/>
      <x:c r="D15" s="8"/>
      <x:c r="E15" s="8"/>
      <x:c r="F15" s="44" t="n">
        <x:f>1/(1+'Assumptions'!$C$28)^1</x:f>
        <x:v>0.8844078889183691</x:v>
      </x:c>
      <x:c r="G15" s="44" t="n">
        <x:f>1/(1+'Assumptions'!$C$28)^2</x:f>
        <x:v>0.7821773139810464</x:v>
      </x:c>
      <x:c r="H15" s="44" t="n">
        <x:f>1/(1+'Assumptions'!$C$28)^3</x:f>
        <x:v>0.6917637870178175</x:v>
      </x:c>
      <x:c r="I15" s="44" t="n">
        <x:f>1/(1+'Assumptions'!$C$28)^4</x:f>
        <x:v>0.6118013505066043</x:v>
      </x:c>
      <x:c r="J15" s="44" t="n">
        <x:f>1/(1+'Assumptions'!$C$28)^5</x:f>
        <x:v>0.5410819408389531</x:v>
      </x:c>
    </x:row>
    <x:row r="16">
      <x:c r="A16" s="32" t="str">
        <x:v>PV of FCFE</x:v>
      </x:c>
      <x:c r="B16" s="32"/>
      <x:c r="C16" s="32"/>
      <x:c r="D16" s="32"/>
      <x:c r="E16" s="32"/>
      <x:c r="F16" s="33" t="n">
        <x:f>F14*F15</x:f>
        <x:v>388.957806668434</x:v>
      </x:c>
      <x:c r="G16" s="33" t="n">
        <x:f>G14*G15</x:f>
        <x:v>710.2159758116459</x:v>
      </x:c>
      <x:c r="H16" s="33" t="n">
        <x:f>H14*H15</x:f>
        <x:v>923.1422963381599</x:v>
      </x:c>
      <x:c r="I16" s="33" t="n">
        <x:f>I14*I15</x:f>
        <x:v>851.2400428189351</x:v>
      </x:c>
      <x:c r="J16" s="33" t="n">
        <x:f>J14*J15</x:f>
        <x:v>1136.5394461966753</x:v>
      </x:c>
    </x:row>
    <x:row r="17">
      <x:c r="A17" s="8"/>
      <x:c r="B17" s="8"/>
      <x:c r="C17" s="8"/>
      <x:c r="D17" s="8"/>
      <x:c r="E17" s="8"/>
      <x:c r="F17" s="8"/>
      <x:c r="G17" s="8"/>
      <x:c r="H17" s="8"/>
      <x:c r="I17" s="8"/>
      <x:c r="J17" s="8"/>
    </x:row>
    <x:row r="18">
      <x:c r="A18" s="8"/>
      <x:c r="B18" s="8"/>
      <x:c r="C18" s="8"/>
      <x:c r="D18" s="8"/>
      <x:c r="E18" s="8"/>
      <x:c r="F18" s="8"/>
      <x:c r="G18" s="8"/>
      <x:c r="H18" s="8"/>
      <x:c r="I18" s="8"/>
      <x:c r="J18" s="8"/>
    </x:row>
    <x:row r="19">
      <x:c r="A19" s="16" t="str">
        <x:v>VALUATION BRIDGE</x:v>
      </x:c>
      <x:c r="B19" s="16"/>
      <x:c r="C19" s="16"/>
      <x:c r="D19" s="16"/>
      <x:c r="E19" s="16"/>
      <x:c r="F19" s="16"/>
      <x:c r="G19" s="16"/>
      <x:c r="H19" s="16"/>
      <x:c r="I19" s="16"/>
      <x:c r="J19" s="16"/>
    </x:row>
    <x:row r="20">
      <x:c r="A20" s="8" t="str">
        <x:v>PV forecast FCFE</x:v>
      </x:c>
      <x:c r="B20" s="8" t="str"/>
      <x:c r="C20" s="27" t="n">
        <x:f>SUM(F16:J16)</x:f>
        <x:v>4010.09556783385</x:v>
      </x:c>
      <x:c r="D20" s="8"/>
      <x:c r="E20" s="8"/>
      <x:c r="F20" s="8"/>
      <x:c r="G20" s="8"/>
      <x:c r="H20" s="8"/>
      <x:c r="I20" s="8"/>
      <x:c r="J20" s="8"/>
    </x:row>
    <x:row r="21">
      <x:c r="A21" s="8" t="str">
        <x:v>Terminal FCFE</x:v>
      </x:c>
      <x:c r="B21" s="8" t="str"/>
      <x:c r="C21" s="27" t="n">
        <x:f>J9*(1-'Assumptions'!C29/15%)</x:f>
        <x:v>2964.050285221103</x:v>
      </x:c>
      <x:c r="D21" s="8"/>
      <x:c r="E21" s="8"/>
      <x:c r="F21" s="8"/>
      <x:c r="G21" s="8"/>
      <x:c r="H21" s="8"/>
      <x:c r="I21" s="8"/>
      <x:c r="J21" s="8"/>
    </x:row>
    <x:row r="22">
      <x:c r="A22" s="8" t="str">
        <x:v>Terminal value</x:v>
      </x:c>
      <x:c r="B22" s="8" t="str"/>
      <x:c r="C22" s="27" t="n">
        <x:f>C21/('Assumptions'!C28-'Assumptions'!C29)</x:f>
        <x:v>36729.24764834082</x:v>
      </x:c>
      <x:c r="D22" s="8"/>
      <x:c r="E22" s="8"/>
      <x:c r="F22" s="8"/>
      <x:c r="G22" s="8"/>
      <x:c r="H22" s="8"/>
      <x:c r="I22" s="8"/>
      <x:c r="J22" s="8"/>
    </x:row>
    <x:row r="23">
      <x:c r="A23" s="8" t="str">
        <x:v>PV terminal value</x:v>
      </x:c>
      <x:c r="B23" s="8" t="str"/>
      <x:c r="C23" s="27" t="n">
        <x:f>C22*J15</x:f>
        <x:v>19873.532603118805</x:v>
      </x:c>
      <x:c r="D23" s="8"/>
      <x:c r="E23" s="8"/>
      <x:c r="F23" s="8"/>
      <x:c r="G23" s="8"/>
      <x:c r="H23" s="8"/>
      <x:c r="I23" s="8"/>
      <x:c r="J23" s="8"/>
    </x:row>
    <x:row r="24">
      <x:c r="A24" s="32" t="str">
        <x:v>Equity value</x:v>
      </x:c>
      <x:c r="B24" s="32" t="str"/>
      <x:c r="C24" s="33" t="n">
        <x:f>SUM(C20,C23)</x:f>
        <x:v>23883.628170952656</x:v>
      </x:c>
      <x:c r="D24" s="32"/>
      <x:c r="E24" s="32"/>
      <x:c r="F24" s="32"/>
      <x:c r="G24" s="32"/>
      <x:c r="H24" s="32"/>
      <x:c r="I24" s="32"/>
      <x:c r="J24" s="32"/>
    </x:row>
    <x:row r="25">
      <x:c r="A25" s="8" t="str">
        <x:v>Shares outstanding (crore)</x:v>
      </x:c>
      <x:c r="B25" s="8" t="str"/>
      <x:c r="C25" s="27" t="n">
        <x:f>'Assumptions'!C30</x:f>
        <x:v>280.9</x:v>
      </x:c>
      <x:c r="D25" s="8"/>
      <x:c r="E25" s="8"/>
      <x:c r="F25" s="8"/>
      <x:c r="G25" s="8"/>
      <x:c r="H25" s="8"/>
      <x:c r="I25" s="8"/>
      <x:c r="J25" s="8"/>
    </x:row>
    <x:row r="26">
      <x:c r="A26" s="32" t="str">
        <x:v>FCFE value / share</x:v>
      </x:c>
      <x:c r="B26" s="32" t="str"/>
      <x:c r="C26" s="46" t="n">
        <x:f>C24/C25</x:f>
        <x:v>85.0253761870867</x:v>
      </x:c>
      <x:c r="D26" s="32"/>
      <x:c r="E26" s="32"/>
      <x:c r="F26" s="32"/>
      <x:c r="G26" s="32"/>
      <x:c r="H26" s="32"/>
      <x:c r="I26" s="32"/>
      <x:c r="J26" s="32"/>
    </x:row>
    <x:row r="27">
      <x:c r="A27" s="8" t="str">
        <x:v>Current price</x:v>
      </x:c>
      <x:c r="B27" s="8" t="str"/>
      <x:c r="C27" s="18" t="n">
        <x:f>'Assumptions'!C31</x:f>
        <x:v>126.4</x:v>
      </x:c>
      <x:c r="D27" s="8"/>
      <x:c r="E27" s="8"/>
      <x:c r="F27" s="8"/>
      <x:c r="G27" s="8"/>
      <x:c r="H27" s="8"/>
      <x:c r="I27" s="8"/>
      <x:c r="J27" s="8"/>
    </x:row>
    <x:row r="28">
      <x:c r="A28" s="8" t="str">
        <x:v>Upside / (downside)</x:v>
      </x:c>
      <x:c r="B28" s="8" t="str"/>
      <x:c r="C28" s="19" t="n">
        <x:f>C26/C27-1</x:f>
        <x:v>-0.32733088459583304</x:v>
      </x:c>
      <x:c r="D28" s="8"/>
      <x:c r="E28" s="8"/>
      <x:c r="F28" s="8"/>
      <x:c r="G28" s="8"/>
      <x:c r="H28" s="8"/>
      <x:c r="I28" s="8"/>
      <x:c r="J28" s="8"/>
    </x:row>
    <x:row r="29">
      <x:c r="A29" s="8" t="str">
        <x:v>Valuation note</x:v>
      </x:c>
      <x:c r="B29" s="8" t="str"/>
      <x:c r="C29" s="17" t="str">
        <x:v>FCFE includes balance-sheet funding needs; no WACC/enterprise value is used for this lender.</x:v>
      </x:c>
      <x:c r="D29" s="8"/>
      <x:c r="E29" s="8"/>
      <x:c r="F29" s="8"/>
      <x:c r="G29" s="8"/>
      <x:c r="H29" s="8"/>
      <x:c r="I29" s="8"/>
      <x:c r="J29" s="8"/>
    </x:row>
    <x:row r="30">
      <x:c r="A30" s="8"/>
      <x:c r="B30" s="8"/>
      <x:c r="C30" s="8"/>
      <x:c r="D30" s="8"/>
      <x:c r="E30" s="8"/>
      <x:c r="F30" s="8"/>
      <x:c r="G30" s="8"/>
      <x:c r="H30" s="8"/>
      <x:c r="I30" s="8"/>
      <x:c r="J30" s="8"/>
    </x:row>
    <x:row r="31">
      <x:c r="A31" s="8"/>
      <x:c r="B31" s="8"/>
      <x:c r="C31" s="8"/>
      <x:c r="D31" s="8"/>
      <x:c r="E31" s="8"/>
      <x:c r="F31" s="8"/>
      <x:c r="G31" s="8"/>
      <x:c r="H31" s="8"/>
      <x:c r="I31" s="8"/>
      <x:c r="J31" s="8"/>
    </x:row>
    <x:row r="32">
      <x:c r="A32" s="16" t="str">
        <x:v>COST OF EQUITY / TERMINAL GROWTH SENSITIVITY</x:v>
      </x:c>
      <x:c r="B32" s="16"/>
      <x:c r="C32" s="16"/>
      <x:c r="D32" s="16"/>
      <x:c r="E32" s="16"/>
      <x:c r="F32" s="16"/>
      <x:c r="G32" s="16"/>
      <x:c r="H32" s="16"/>
      <x:c r="I32" s="16"/>
      <x:c r="J32" s="16"/>
    </x:row>
    <x:row r="33">
      <x:c r="A33" s="8"/>
      <x:c r="B33" s="8"/>
      <x:c r="C33" s="19" t="n">
        <x:v>0.04</x:v>
      </x:c>
      <x:c r="D33" s="19" t="n">
        <x:v>0.045</x:v>
      </x:c>
      <x:c r="E33" s="19" t="n">
        <x:v>0.05</x:v>
      </x:c>
      <x:c r="F33" s="19" t="n">
        <x:v>0.055</x:v>
      </x:c>
      <x:c r="G33" s="19" t="n">
        <x:v>0.06</x:v>
      </x:c>
      <x:c r="H33" s="8"/>
      <x:c r="I33" s="8"/>
      <x:c r="J33" s="8"/>
    </x:row>
    <x:row r="34">
      <x:c r="A34" s="8"/>
      <x:c r="B34" s="19" t="n">
        <x:v>0.115</x:v>
      </x:c>
      <x:c r="C34" s="18" t="n">
        <x:f>(SUMPRODUCT($F$14:$J$14,1/(1+$B34)^{1,2,3,4,5})+(($J$9*(1-C$33/15%))/($B34-C$33))/(1+$B34)^5)/'Assumptions'!$C$30</x:f>
        <x:v>104.77819843028459</x:v>
      </x:c>
      <x:c r="D34" s="18" t="n">
        <x:f>(SUMPRODUCT($F$14:$J$14,1/(1+$B34)^{1,2,3,4,5})+(($J$9*(1-D$33/15%))/($B34-D$33))/(1+$B34)^5)/'Assumptions'!$C$30</x:f>
        <x:v>106.81917602110502</x:v>
      </x:c>
      <x:c r="E34" s="18" t="n">
        <x:f>(SUMPRODUCT($F$14:$J$14,1/(1+$B34)^{1,2,3,4,5})+(($J$9*(1-E$33/15%))/($B34-E$33))/(1+$B34)^5)/'Assumptions'!$C$30</x:f>
        <x:v>109.17415016435939</x:v>
      </x:c>
      <x:c r="F34" s="18" t="n">
        <x:f>(SUMPRODUCT($F$14:$J$14,1/(1+$B34)^{1,2,3,4,5})+(($J$9*(1-F$33/15%))/($B34-F$33))/(1+$B34)^5)/'Assumptions'!$C$30</x:f>
        <x:v>111.92161999815616</x:v>
      </x:c>
      <x:c r="G34" s="18" t="n">
        <x:f>(SUMPRODUCT($F$14:$J$14,1/(1+$B34)^{1,2,3,4,5})+(($J$9*(1-G$33/15%))/($B34-G$33))/(1+$B34)^5)/'Assumptions'!$C$30</x:f>
        <x:v>115.16862980173413</x:v>
      </x:c>
      <x:c r="H34" s="8"/>
      <x:c r="I34" s="8"/>
      <x:c r="J34" s="8"/>
    </x:row>
    <x:row r="35">
      <x:c r="A35" s="8"/>
      <x:c r="B35" s="19" t="n">
        <x:v>0.12</x:v>
      </x:c>
      <x:c r="C35" s="18" t="n">
        <x:f>(SUMPRODUCT($F$14:$J$14,1/(1+$B35)^{1,2,3,4,5})+(($J$9*(1-C$33/15%))/($B35-C$33))/(1+$B35)^5)/'Assumptions'!$C$30</x:f>
        <x:v>97.07500126638101</x:v>
      </x:c>
      <x:c r="D35" s="18" t="n">
        <x:f>(SUMPRODUCT($F$14:$J$14,1/(1+$B35)^{1,2,3,4,5})+(($J$9*(1-D$33/15%))/($B35-D$33))/(1+$B35)^5)/'Assumptions'!$C$30</x:f>
        <x:v>98.57187002175196</x:v>
      </x:c>
      <x:c r="E35" s="18" t="n">
        <x:f>(SUMPRODUCT($F$14:$J$14,1/(1+$B35)^{1,2,3,4,5})+(($J$9*(1-E$33/15%))/($B35-E$33))/(1+$B35)^5)/'Assumptions'!$C$30</x:f>
        <x:v>100.28257717074736</x:v>
      </x:c>
      <x:c r="F35" s="18" t="n">
        <x:f>(SUMPRODUCT($F$14:$J$14,1/(1+$B35)^{1,2,3,4,5})+(($J$9*(1-F$33/15%))/($B35-F$33))/(1+$B35)^5)/'Assumptions'!$C$30</x:f>
        <x:v>102.25647003497282</x:v>
      </x:c>
      <x:c r="G35" s="18" t="n">
        <x:f>(SUMPRODUCT($F$14:$J$14,1/(1+$B35)^{1,2,3,4,5})+(($J$9*(1-G$33/15%))/($B35-G$33))/(1+$B35)^5)/'Assumptions'!$C$30</x:f>
        <x:v>104.55934504323585</x:v>
      </x:c>
      <x:c r="H35" s="8"/>
      <x:c r="I35" s="8"/>
      <x:c r="J35" s="8"/>
    </x:row>
    <x:row r="36">
      <x:c r="A36" s="8"/>
      <x:c r="B36" s="19" t="n">
        <x:v>0.125</x:v>
      </x:c>
      <x:c r="C36" s="18" t="n">
        <x:f>(SUMPRODUCT($F$14:$J$14,1/(1+$B36)^{1,2,3,4,5})+(($J$9*(1-C$33/15%))/($B36-C$33))/(1+$B36)^5)/'Assumptions'!$C$30</x:f>
        <x:v>90.30254001851078</x:v>
      </x:c>
      <x:c r="D36" s="18" t="n">
        <x:f>(SUMPRODUCT($F$14:$J$14,1/(1+$B36)^{1,2,3,4,5})+(($J$9*(1-D$33/15%))/($B36-D$33))/(1+$B36)^5)/'Assumptions'!$C$30</x:f>
        <x:v>91.37893661544067</x:v>
      </x:c>
      <x:c r="E36" s="18" t="n">
        <x:f>(SUMPRODUCT($F$14:$J$14,1/(1+$B36)^{1,2,3,4,5})+(($J$9*(1-E$33/15%))/($B36-E$33))/(1+$B36)^5)/'Assumptions'!$C$30</x:f>
        <x:v>92.5988527586279</x:v>
      </x:c>
      <x:c r="F36" s="18" t="n">
        <x:f>(SUMPRODUCT($F$14:$J$14,1/(1+$B36)^{1,2,3,4,5})+(($J$9*(1-F$33/15%))/($B36-F$33))/(1+$B36)^5)/'Assumptions'!$C$30</x:f>
        <x:v>93.99304263655617</x:v>
      </x:c>
      <x:c r="G36" s="18" t="n">
        <x:f>(SUMPRODUCT($F$14:$J$14,1/(1+$B36)^{1,2,3,4,5})+(($J$9*(1-G$33/15%))/($B36-G$33))/(1+$B36)^5)/'Assumptions'!$C$30</x:f>
        <x:v>95.60172326493493</x:v>
      </x:c>
      <x:c r="H36" s="8"/>
      <x:c r="I36" s="8"/>
      <x:c r="J36" s="8"/>
    </x:row>
    <x:row r="37">
      <x:c r="A37" s="8"/>
      <x:c r="B37" s="19" t="n">
        <x:v>0.13</x:v>
      </x:c>
      <x:c r="C37" s="18" t="n">
        <x:f>(SUMPRODUCT($F$14:$J$14,1/(1+$B37)^{1,2,3,4,5})+(($J$9*(1-C$33/15%))/($B37-C$33))/(1+$B37)^5)/'Assumptions'!$C$30</x:f>
        <x:v>84.30504110261245</x:v>
      </x:c>
      <x:c r="D37" s="18" t="n">
        <x:f>(SUMPRODUCT($F$14:$J$14,1/(1+$B37)^{1,2,3,4,5})+(($J$9*(1-D$33/15%))/($B37-D$33))/(1+$B37)^5)/'Assumptions'!$C$30</x:f>
        <x:v>85.05369342374908</x:v>
      </x:c>
      <x:c r="E37" s="18" t="n">
        <x:f>(SUMPRODUCT($F$14:$J$14,1/(1+$B37)^{1,2,3,4,5})+(($J$9*(1-E$33/15%))/($B37-E$33))/(1+$B37)^5)/'Assumptions'!$C$30</x:f>
        <x:v>85.89592728502784</x:v>
      </x:c>
      <x:c r="F37" s="18" t="n">
        <x:f>(SUMPRODUCT($F$14:$J$14,1/(1+$B37)^{1,2,3,4,5})+(($J$9*(1-F$33/15%))/($B37-F$33))/(1+$B37)^5)/'Assumptions'!$C$30</x:f>
        <x:v>86.85045899447707</x:v>
      </x:c>
      <x:c r="G37" s="18" t="n">
        <x:f>(SUMPRODUCT($F$14:$J$14,1/(1+$B37)^{1,2,3,4,5})+(($J$9*(1-G$33/15%))/($B37-G$33))/(1+$B37)^5)/'Assumptions'!$C$30</x:f>
        <x:v>87.94135237670477</x:v>
      </x:c>
      <x:c r="H37" s="8"/>
      <x:c r="I37" s="8"/>
      <x:c r="J37" s="8"/>
    </x:row>
    <x:row r="38">
      <x:c r="A38" s="8"/>
      <x:c r="B38" s="19" t="n">
        <x:v>0.135</x:v>
      </x:c>
      <x:c r="C38" s="18" t="n">
        <x:f>(SUMPRODUCT($F$14:$J$14,1/(1+$B38)^{1,2,3,4,5})+(($J$9*(1-C$33/15%))/($B38-C$33))/(1+$B38)^5)/'Assumptions'!$C$30</x:f>
        <x:v>78.95954575066405</x:v>
      </x:c>
      <x:c r="D38" s="18" t="n">
        <x:f>(SUMPRODUCT($F$14:$J$14,1/(1+$B38)^{1,2,3,4,5})+(($J$9*(1-D$33/15%))/($B38-D$33))/(1+$B38)^5)/'Assumptions'!$C$30</x:f>
        <x:v>79.45096217662922</x:v>
      </x:c>
      <x:c r="E38" s="18" t="n">
        <x:f>(SUMPRODUCT($F$14:$J$14,1/(1+$B38)^{1,2,3,4,5})+(($J$9*(1-E$33/15%))/($B38-E$33))/(1+$B38)^5)/'Assumptions'!$C$30</x:f>
        <x:v>80.00019229976677</x:v>
      </x:c>
      <x:c r="F38" s="18" t="n">
        <x:f>(SUMPRODUCT($F$14:$J$14,1/(1+$B38)^{1,2,3,4,5})+(($J$9*(1-F$33/15%))/($B38-F$33))/(1+$B38)^5)/'Assumptions'!$C$30</x:f>
        <x:v>80.61807618829653</x:v>
      </x:c>
      <x:c r="G38" s="18" t="n">
        <x:f>(SUMPRODUCT($F$14:$J$14,1/(1+$B38)^{1,2,3,4,5})+(($J$9*(1-G$33/15%))/($B38-G$33))/(1+$B38)^5)/'Assumptions'!$C$30</x:f>
        <x:v>81.31834459529689</x:v>
      </x:c>
      <x:c r="H38" s="8"/>
      <x:c r="I38" s="8"/>
      <x:c r="J38" s="8"/>
    </x:row>
    <x:row r="39">
      <x:c r="A39" s="8"/>
      <x:c r="B39" s="8"/>
      <x:c r="C39" s="8"/>
      <x:c r="D39" s="8"/>
      <x:c r="E39" s="8"/>
      <x:c r="F39" s="8"/>
      <x:c r="G39" s="8"/>
      <x:c r="H39" s="8"/>
      <x:c r="I39" s="8"/>
      <x:c r="J39" s="8"/>
    </x:row>
    <x:row r="40">
      <x:c r="A40" s="8"/>
      <x:c r="B40" s="8"/>
      <x:c r="C40" s="8"/>
      <x:c r="D40" s="8"/>
      <x:c r="E40" s="8"/>
      <x:c r="F40" s="8"/>
      <x:c r="G40" s="8"/>
      <x:c r="H40" s="8"/>
      <x:c r="I40" s="8"/>
      <x:c r="J40" s="8"/>
    </x:row>
    <x:row r="41">
      <x:c r="A41" s="8"/>
      <x:c r="B41" s="8"/>
      <x:c r="C41" s="8"/>
      <x:c r="D41" s="8"/>
      <x:c r="E41" s="8"/>
      <x:c r="F41" s="8"/>
      <x:c r="G41" s="8"/>
      <x:c r="H41" s="8"/>
      <x:c r="I41" s="8"/>
      <x:c r="J41" s="8"/>
    </x:row>
    <x:row r="42">
      <x:c r="A42" s="8"/>
      <x:c r="B42" s="8"/>
      <x:c r="C42" s="8"/>
      <x:c r="D42" s="8"/>
      <x:c r="E42" s="8"/>
      <x:c r="F42" s="8"/>
      <x:c r="G42" s="8"/>
      <x:c r="H42" s="8"/>
      <x:c r="I42" s="8"/>
      <x:c r="J42" s="8"/>
    </x:row>
    <x:row r="43">
      <x:c r="A43" s="8"/>
      <x:c r="B43" s="8"/>
      <x:c r="C43" s="8"/>
      <x:c r="D43" s="8"/>
      <x:c r="E43" s="8"/>
      <x:c r="F43" s="8"/>
      <x:c r="G43" s="8"/>
      <x:c r="H43" s="8"/>
      <x:c r="I43" s="8"/>
      <x:c r="J43" s="8"/>
    </x:row>
    <x:row r="44">
      <x:c r="A44" s="8"/>
      <x:c r="B44" s="8"/>
      <x:c r="C44" s="8"/>
      <x:c r="D44" s="8"/>
      <x:c r="E44" s="8"/>
      <x:c r="F44" s="8"/>
      <x:c r="G44" s="8"/>
      <x:c r="H44" s="8"/>
      <x:c r="I44" s="8"/>
      <x:c r="J44" s="8"/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  <x:c r="J45" s="8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  <x:c r="J46" s="8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</x:row>
  </x:sheetData>
  <x:mergeCells>
    <x:mergeCell ref="A1:J2"/>
    <x:mergeCell ref="A3:J3"/>
    <x:mergeCell ref="A8:J8"/>
    <x:mergeCell ref="A9:B9"/>
    <x:mergeCell ref="A10:B10"/>
    <x:mergeCell ref="A11:B11"/>
    <x:mergeCell ref="A12:B12"/>
    <x:mergeCell ref="A13:B13"/>
    <x:mergeCell ref="A14:B14"/>
    <x:mergeCell ref="A15:B15"/>
    <x:mergeCell ref="A16:B16"/>
    <x:mergeCell ref="A19:J19"/>
    <x:mergeCell ref="A32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3" t="str">
        <x:v>IREDA | Model Checks</x:v>
      </x:c>
      <x:c r="B1" s="3"/>
      <x:c r="C1" s="3"/>
      <x:c r="D1" s="3"/>
      <x:c r="E1" s="3"/>
      <x:c r="F1" s="3"/>
    </x:row>
    <x:row r="2">
      <x:c r="A2" s="3"/>
      <x:c r="B2" s="3"/>
      <x:c r="C2" s="3"/>
      <x:c r="D2" s="3"/>
      <x:c r="E2" s="3"/>
      <x:c r="F2" s="3"/>
    </x:row>
    <x:row r="3">
      <x:c r="A3" s="5" t="str">
        <x:v>Portfolio model | INR crore unless stated | Valuation date: 10-Jul-2026</x:v>
      </x:c>
      <x:c r="B3" s="5"/>
      <x:c r="C3" s="5"/>
      <x:c r="D3" s="5"/>
      <x:c r="E3" s="5"/>
      <x:c r="F3" s="5"/>
    </x:row>
    <x:row r="5">
      <x:c r="A5" s="48" t="str">
        <x:v>Check</x:v>
      </x:c>
      <x:c r="B5" s="48" t="str">
        <x:v>Actual</x:v>
      </x:c>
      <x:c r="C5" s="48" t="str">
        <x:v>Expected</x:v>
      </x:c>
      <x:c r="D5" s="48" t="str">
        <x:v>Difference</x:v>
      </x:c>
      <x:c r="E5" s="48" t="str">
        <x:v>Tolerance</x:v>
      </x:c>
      <x:c r="F5" s="48" t="str">
        <x:v>Status</x:v>
      </x:c>
    </x:row>
    <x:row r="6">
      <x:c r="A6" t="str">
        <x:v>FY26 balance sheet</x:v>
      </x:c>
      <x:c r="B6" t="n">
        <x:f>'3 Statement Model'!E31</x:f>
        <x:v>93802</x:v>
      </x:c>
      <x:c r="C6" t="n">
        <x:f>'3 Statement Model'!E37</x:f>
        <x:v>93802</x:v>
      </x:c>
      <x:c r="D6" t="n">
        <x:f>B6-C6</x:f>
        <x:v>0</x:v>
      </x:c>
      <x:c r="E6" t="n">
        <x:f>0.1</x:f>
        <x:v>0.1</x:v>
      </x:c>
      <x:c r="F6" t="str">
        <x:f>IF(ABS(D6)&lt;=E6,"OK","FAIL")</x:f>
        <x:v>OK</x:v>
      </x:c>
    </x:row>
    <x:row r="7">
      <x:c r="A7" t="str">
        <x:v>FY31 balance sheet</x:v>
      </x:c>
      <x:c r="B7" t="n">
        <x:f>'3 Statement Model'!J31</x:f>
        <x:v>201947.4807350817</x:v>
      </x:c>
      <x:c r="C7" t="n">
        <x:f>'3 Statement Model'!J37</x:f>
        <x:v>201947.4807350817</x:v>
      </x:c>
      <x:c r="D7" t="n">
        <x:f>B7-C7</x:f>
        <x:v>0</x:v>
      </x:c>
      <x:c r="E7" t="n">
        <x:f>0.1</x:f>
        <x:v>0.1</x:v>
      </x:c>
      <x:c r="F7" t="str">
        <x:f>IF(ABS(D7)&lt;=E7,"OK","FAIL")</x:f>
        <x:v>OK</x:v>
      </x:c>
    </x:row>
    <x:row r="8">
      <x:c r="A8" t="str">
        <x:v>FY31 cash tie</x:v>
      </x:c>
      <x:c r="B8" t="n">
        <x:f>'3 Statement Model'!J23</x:f>
        <x:v>6892.130329426783</x:v>
      </x:c>
      <x:c r="C8" t="n">
        <x:f>'3 Statement Model'!J50</x:f>
        <x:v>6892.130329426783</x:v>
      </x:c>
      <x:c r="D8" t="n">
        <x:f>B8-C8</x:f>
        <x:v>0</x:v>
      </x:c>
      <x:c r="E8" t="n">
        <x:f>0.1</x:f>
        <x:v>0.1</x:v>
      </x:c>
      <x:c r="F8" t="str">
        <x:f>IF(ABS(D8)&lt;=E8,"OK","FAIL")</x:f>
        <x:v>OK</x:v>
      </x:c>
    </x:row>
    <x:row r="9">
      <x:c r="A9" t="str">
        <x:v>FCFE bridge</x:v>
      </x:c>
      <x:c r="B9" t="n">
        <x:f>'FCFE DCF'!C24</x:f>
        <x:v>23883.628170952656</x:v>
      </x:c>
      <x:c r="C9" t="n">
        <x:f>'FCFE DCF'!C20+'FCFE DCF'!C23</x:f>
        <x:v>23883.628170952656</x:v>
      </x:c>
      <x:c r="D9" t="n">
        <x:f>B9-C9</x:f>
        <x:v>0</x:v>
      </x:c>
      <x:c r="E9" t="n">
        <x:f>0.1</x:f>
        <x:v>0.1</x:v>
      </x:c>
      <x:c r="F9" t="str">
        <x:f>IF(ABS(D9)&lt;=E9,"OK","FAIL")</x:f>
        <x:v>OK</x:v>
      </x:c>
    </x:row>
    <x:row r="10">
      <x:c r="A10" t="str">
        <x:v>Terminal spread</x:v>
      </x:c>
      <x:c r="B10" t="n">
        <x:f>'Assumptions'!C28-'Assumptions'!C29</x:f>
        <x:v>0.08069999999999998</x:v>
      </x:c>
      <x:c r="C10" t="n">
        <x:f>0.01</x:f>
        <x:v>0.01</x:v>
      </x:c>
      <x:c r="D10" t="n">
        <x:f>B10-C10</x:f>
        <x:v>0.07069999999999999</x:v>
      </x:c>
      <x:c r="E10" t="n">
        <x:f>0</x:f>
        <x:v>0</x:v>
      </x:c>
      <x:c r="F10" t="str">
        <x:f>IF(B10&gt;C10,"OK","FAIL")</x:f>
        <x:v>OK</x:v>
      </x:c>
    </x:row>
    <x:row r="11">
      <x:c r="A11" s="49" t="str">
        <x:v>Overall model status</x:v>
      </x:c>
      <x:c r="B11" s="49"/>
      <x:c r="C11" s="49"/>
      <x:c r="D11" s="49"/>
      <x:c r="E11" s="49"/>
      <x:c r="F11" s="49" t="str">
        <x:f>IF(COUNTIF(F6:F10,"FAIL")=0,"OK","REVIEW")</x:f>
        <x:v>OK</x:v>
      </x:c>
    </x:row>
  </x:sheetData>
  <x:mergeCells>
    <x:mergeCell ref="A1:F2"/>
    <x:mergeCell ref="A3:F3"/>
    <x:mergeCell ref="A11:E1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9" hidden="0" customWidth="1"/>
    <x:col min="3" max="3" width="17" hidden="0" customWidth="1"/>
    <x:col min="4" max="4" width="17" hidden="0" customWidth="1"/>
    <x:col min="5" max="5" width="24" hidden="0" customWidth="1"/>
    <x:col min="6" max="6" width="60" hidden="0" customWidth="1"/>
    <x:col min="7" max="7" width="46" hidden="0" customWidth="1"/>
  </x:cols>
  <x:sheetData>
    <x:row r="1">
      <x:c r="A1" s="3" t="str">
        <x:v>Sources &amp; Audit</x:v>
      </x:c>
      <x:c r="B1" s="3"/>
      <x:c r="C1" s="3"/>
      <x:c r="D1" s="3"/>
      <x:c r="E1" s="3"/>
      <x:c r="F1" s="3"/>
      <x:c r="G1" s="3"/>
    </x:row>
    <x:row r="2">
      <x:c r="A2" s="3"/>
      <x:c r="B2" s="3"/>
      <x:c r="C2" s="3"/>
      <x:c r="D2" s="3"/>
      <x:c r="E2" s="3"/>
      <x:c r="F2" s="3"/>
      <x:c r="G2" s="3"/>
    </x:row>
    <x:row r="3">
      <x:c r="A3" s="5" t="str">
        <x:v>Portfolio model | INR crore unless stated | Valuation date: 10-Jul-2026</x:v>
      </x:c>
      <x:c r="B3" s="5"/>
      <x:c r="C3" s="5"/>
      <x:c r="D3" s="5"/>
      <x:c r="E3" s="5"/>
      <x:c r="F3" s="5"/>
      <x:c r="G3" s="5"/>
    </x:row>
    <x:row r="5">
      <x:c r="A5" s="50" t="str">
        <x:v>ID</x:v>
      </x:c>
      <x:c r="B5" s="50" t="str">
        <x:v>Input / metric</x:v>
      </x:c>
      <x:c r="C5" s="50" t="str">
        <x:v>Period / as-of</x:v>
      </x:c>
      <x:c r="D5" s="50" t="str">
        <x:v>Value / units</x:v>
      </x:c>
      <x:c r="E5" s="50" t="str">
        <x:v>Source</x:v>
      </x:c>
      <x:c r="F5" s="50" t="str">
        <x:v>URL</x:v>
      </x:c>
      <x:c r="G5" s="50" t="str">
        <x:v>Notes</x:v>
      </x:c>
    </x:row>
    <x:row r="6" ht="34" customHeight="1">
      <x:c r="A6" s="51" t="str">
        <x:v>IR-AR25</x:v>
      </x:c>
      <x:c r="B6" s="51" t="str">
        <x:v>Audited FY2024-FY2025 statements</x:v>
      </x:c>
      <x:c r="C6" s="51" t="str">
        <x:v>FY2024-FY2025</x:v>
      </x:c>
      <x:c r="D6" s="51" t="str">
        <x:v>INR crore</x:v>
      </x:c>
      <x:c r="E6" s="51" t="str">
        <x:v>IREDA Annual Report FY2024-25</x:v>
      </x:c>
      <x:c r="F6" s="51" t="str">
        <x:v>https://www.ireda.in/images/HTMLfiles/IREDA%20Annual%20Report%2024-25.pdf</x:v>
      </x:c>
      <x:c r="G6" s="51" t="str">
        <x:v>Standalone pages 213-216</x:v>
      </x:c>
    </x:row>
    <x:row r="7" ht="34" customHeight="1">
      <x:c r="A7" s="51" t="str">
        <x:v>IR-FY26</x:v>
      </x:c>
      <x:c r="B7" s="51" t="str">
        <x:v>Audited FY2026 financial metrics</x:v>
      </x:c>
      <x:c r="C7" s="51" t="str">
        <x:v>FY2026</x:v>
      </x:c>
      <x:c r="D7" s="51" t="str">
        <x:v>INR crore</x:v>
      </x:c>
      <x:c r="E7" s="51" t="str">
        <x:v>IREDA FY2025-26 investor presentation</x:v>
      </x:c>
      <x:c r="F7" s="51" t="str">
        <x:v>https://www.ireda.in/images/HTMLfiles/Investor%20PPT%20Q4%20%20FY25-26%20SEBI.pdf</x:v>
      </x:c>
      <x:c r="G7" s="51" t="str">
        <x:v>Pages 9-19</x:v>
      </x:c>
    </x:row>
    <x:row r="8" ht="34" customHeight="1">
      <x:c r="A8" s="51" t="str">
        <x:v>IR-PX</x:v>
      </x:c>
      <x:c r="B8" s="51" t="str">
        <x:v>Share price</x:v>
      </x:c>
      <x:c r="C8" s="51" t="str">
        <x:v>10-Jul-2026</x:v>
      </x:c>
      <x:c r="D8" s="51" t="str">
        <x:v>INR 126.40</x:v>
      </x:c>
      <x:c r="E8" s="51" t="str">
        <x:v>Kotak Neo</x:v>
      </x:c>
      <x:c r="F8" s="51" t="str">
        <x:v>https://www.kotakneo.com/stocks/indian-renewable-energy-development-agency-share-price/</x:v>
      </x:c>
      <x:c r="G8" s="51" t="str">
        <x:v>Market close</x:v>
      </x:c>
    </x:row>
    <x:row r="9" ht="34" customHeight="1">
      <x:c r="A9" s="51" t="str">
        <x:v>RF</x:v>
      </x:c>
      <x:c r="B9" s="51" t="str">
        <x:v>India 10Y G-sec</x:v>
      </x:c>
      <x:c r="C9" s="51" t="str">
        <x:v>08-Jul-2026</x:v>
      </x:c>
      <x:c r="D9" s="51" t="str">
        <x:v>6.766%</x:v>
      </x:c>
      <x:c r="E9" s="51" t="str">
        <x:v>Investing.com</x:v>
      </x:c>
      <x:c r="F9" s="51" t="str">
        <x:v>https://www.investing.com/rates-bonds/india-10-year-bond-yield-historical-data</x:v>
      </x:c>
      <x:c r="G9" s="51" t="str">
        <x:v>Rounded to 6.77%</x:v>
      </x:c>
    </x:row>
    <x:row r="10" ht="34" customHeight="1">
      <x:c r="A10" s="51" t="str">
        <x:v>ERP</x:v>
      </x:c>
      <x:c r="B10" s="51" t="str">
        <x:v>India equity risk premium</x:v>
      </x:c>
      <x:c r="C10" s="51" t="str">
        <x:v>2026</x:v>
      </x:c>
      <x:c r="D10" s="51" t="str">
        <x:v>6.0%</x:v>
      </x:c>
      <x:c r="E10" s="51" t="str">
        <x:v>Damodaran country valuation materials</x:v>
      </x:c>
      <x:c r="F10" s="51" t="str">
        <x:v>https://pages.stern.nyu.edu/~adamodar/pdfiles/country/val2dayDubai2026.pdf</x:v>
      </x:c>
      <x:c r="G10" s="51" t="str">
        <x:v>Editable assumption</x:v>
      </x:c>
    </x:row>
  </x:sheetData>
  <x:mergeCells>
    <x:mergeCell ref="A1:G2"/>
    <x:mergeCell ref="A3:G3"/>
  </x:mergeCells>
  <x:pageMargins left="0.7" right="0.7" top="0.75" bottom="0.75" header="0.3" footer="0.3"/>
</x:worksheet>
</file>